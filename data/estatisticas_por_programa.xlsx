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sno365-my.sharepoint.com/personal/luis_ignacio_csn_com_br/Documents/Área de Trabalho/PASTAS/GMC/"/>
    </mc:Choice>
  </mc:AlternateContent>
  <xr:revisionPtr revIDLastSave="617" documentId="11_23F921ED5FEBC839B12C4CE505A0755B69D8A3CD" xr6:coauthVersionLast="47" xr6:coauthVersionMax="47" xr10:uidLastSave="{403CF97B-BACE-4302-98C4-0F5671F15EED}"/>
  <bookViews>
    <workbookView xWindow="23880" yWindow="-120" windowWidth="21840" windowHeight="13020" xr2:uid="{00000000-000D-0000-FFFF-FFFF00000000}"/>
  </bookViews>
  <sheets>
    <sheet name="Sheet1" sheetId="1" r:id="rId1"/>
  </sheets>
  <definedNames>
    <definedName name="_xlnm.Print_Area" localSheetId="0">Sheet1!$A$1:$Z$139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40" i="1" l="1"/>
  <c r="AC140" i="1"/>
  <c r="B3" i="1"/>
  <c r="B2" i="1"/>
</calcChain>
</file>

<file path=xl/sharedStrings.xml><?xml version="1.0" encoding="utf-8"?>
<sst xmlns="http://schemas.openxmlformats.org/spreadsheetml/2006/main" count="301" uniqueCount="164">
  <si>
    <t>PROGRAM_Nº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</si>
  <si>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</si>
  <si>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</si>
  <si>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</si>
  <si>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</si>
  <si>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</si>
  <si>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</si>
  <si>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</si>
  <si>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</si>
  <si>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</si>
  <si>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</si>
  <si>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</si>
  <si>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</si>
  <si>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</si>
  <si>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</si>
  <si>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</si>
  <si>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</si>
  <si>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</si>
  <si>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</si>
  <si>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</si>
  <si>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</si>
  <si>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</si>
  <si>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</si>
  <si>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</si>
  <si>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</si>
  <si>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</si>
  <si>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</si>
  <si>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</si>
  <si>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</si>
  <si>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</si>
  <si>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</si>
  <si>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</si>
  <si>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</si>
  <si>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</si>
  <si>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</si>
  <si>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</si>
  <si>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</si>
  <si>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</si>
  <si>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</si>
  <si>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</si>
  <si>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46</t>
  </si>
  <si>
    <t>47</t>
  </si>
  <si>
    <t>48</t>
  </si>
  <si>
    <t>49</t>
  </si>
  <si>
    <t>50</t>
  </si>
  <si>
    <t>54</t>
  </si>
  <si>
    <t>56</t>
  </si>
  <si>
    <t>57</t>
  </si>
  <si>
    <t>58</t>
  </si>
  <si>
    <t>59</t>
  </si>
  <si>
    <t>60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</si>
  <si>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</si>
  <si>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</si>
  <si>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</si>
  <si>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</si>
  <si>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</si>
  <si>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</si>
  <si>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</si>
  <si>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</si>
  <si>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</si>
  <si>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</si>
  <si>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</si>
  <si>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</si>
  <si>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</si>
  <si>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</si>
  <si>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</si>
  <si>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</si>
  <si>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</si>
  <si>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</si>
  <si>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</si>
  <si>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143</t>
  </si>
  <si>
    <t>144</t>
  </si>
  <si>
    <t>147</t>
  </si>
  <si>
    <t>148</t>
  </si>
  <si>
    <t>149</t>
  </si>
  <si>
    <t>150</t>
  </si>
  <si>
    <t>155</t>
  </si>
  <si>
    <t>156</t>
  </si>
  <si>
    <t>157</t>
  </si>
  <si>
    <t>158</t>
  </si>
  <si>
    <t>159</t>
  </si>
  <si>
    <t>160</t>
  </si>
  <si>
    <t>165</t>
  </si>
  <si>
    <t>166</t>
  </si>
  <si>
    <t>167</t>
  </si>
  <si>
    <t>168</t>
  </si>
  <si>
    <t>169</t>
  </si>
  <si>
    <t>233</t>
  </si>
  <si>
    <t>234</t>
  </si>
  <si>
    <t>235</t>
  </si>
  <si>
    <t>236</t>
  </si>
  <si>
    <t>237</t>
  </si>
  <si>
    <t>238</t>
  </si>
  <si>
    <t>239</t>
  </si>
  <si>
    <t>240</t>
  </si>
  <si>
    <t>243</t>
  </si>
  <si>
    <t>244</t>
  </si>
  <si>
    <t>245</t>
  </si>
  <si>
    <t>246</t>
  </si>
  <si>
    <t>247</t>
  </si>
  <si>
    <t>248</t>
  </si>
  <si>
    <t>249</t>
  </si>
  <si>
    <t>250</t>
  </si>
  <si>
    <t>255</t>
  </si>
  <si>
    <t>256</t>
  </si>
  <si>
    <t>257</t>
  </si>
  <si>
    <t>258</t>
  </si>
  <si>
    <t>259</t>
  </si>
  <si>
    <t>260</t>
  </si>
  <si>
    <t>263</t>
  </si>
  <si>
    <t>266</t>
  </si>
  <si>
    <t>267</t>
  </si>
  <si>
    <t>268</t>
  </si>
  <si>
    <t>269</t>
  </si>
  <si>
    <t>270</t>
  </si>
  <si>
    <t>280</t>
  </si>
  <si>
    <t>333</t>
  </si>
  <si>
    <t>334</t>
  </si>
  <si>
    <t>335</t>
  </si>
  <si>
    <t>336</t>
  </si>
  <si>
    <t>337</t>
  </si>
  <si>
    <t>338</t>
  </si>
  <si>
    <t>339</t>
  </si>
  <si>
    <t>340</t>
  </si>
  <si>
    <t>426</t>
  </si>
  <si>
    <t>427</t>
  </si>
  <si>
    <t>428</t>
  </si>
  <si>
    <t>429</t>
  </si>
  <si>
    <t>430</t>
  </si>
  <si>
    <t>503</t>
  </si>
  <si>
    <t>506</t>
  </si>
  <si>
    <t>507</t>
  </si>
  <si>
    <t>508</t>
  </si>
  <si>
    <t>509</t>
  </si>
  <si>
    <t>510</t>
  </si>
  <si>
    <t>580</t>
  </si>
  <si>
    <t>729</t>
  </si>
  <si>
    <t>730</t>
  </si>
  <si>
    <t>9999</t>
  </si>
  <si>
    <t>velocidade_media</t>
  </si>
  <si>
    <t>velocidade_variacaoMedia</t>
  </si>
  <si>
    <t>velocidade_min</t>
  </si>
  <si>
    <t>velocidade_max</t>
  </si>
  <si>
    <t>velocidade_qtdAnalise</t>
  </si>
  <si>
    <t>corrente_media</t>
  </si>
  <si>
    <t>corrente_variacaoMedia</t>
  </si>
  <si>
    <t>corrente_min</t>
  </si>
  <si>
    <t>corrente_max</t>
  </si>
  <si>
    <t>corrente_qtdAnalise</t>
  </si>
  <si>
    <t>pressao_solda_media</t>
  </si>
  <si>
    <t>pressao_solda_variacaoMedia</t>
  </si>
  <si>
    <t>pressao_solda_min</t>
  </si>
  <si>
    <t>pressao_solda_max</t>
  </si>
  <si>
    <t>pressao_solda_qtdAnalise</t>
  </si>
  <si>
    <t>temperatura_media</t>
  </si>
  <si>
    <t>temperatura_variacaoMedia</t>
  </si>
  <si>
    <t>temperatura_min</t>
  </si>
  <si>
    <t>temperatura_max</t>
  </si>
  <si>
    <t>temperatura_qtdAnalise</t>
  </si>
  <si>
    <t>pressao_martelador_media</t>
  </si>
  <si>
    <t>pressao_martelador_variacaoMedia</t>
  </si>
  <si>
    <t>pressao_martelador_min</t>
  </si>
  <si>
    <t>pressao_martelador_max</t>
  </si>
  <si>
    <t>pressao_martelador_qtdAnalise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</si>
</sst>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"/>
    <numFmt numFmtId="165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7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14" borderId="2" xfId="0" applyFill="1" applyBorder="1" applyAlignment="1">
      <alignment horizontal="center" vertical="center"/>
    </xf>
    <xf numFmtId="0" fontId="0" fillId="16" borderId="2" xfId="0" applyFill="1" applyBorder="1" applyAlignment="1">
      <alignment horizontal="center" vertical="center"/>
    </xf>
    <xf numFmtId="0" fontId="0" fillId="0" borderId="2" xfId="0" applyBorder="1"/>
    <xf numFmtId="0" fontId="2" fillId="7" borderId="0" xfId="0" applyFont="1" applyFill="1" applyAlignment="1">
      <alignment horizontal="center" vertical="center"/>
    </xf>
    <xf numFmtId="164" fontId="2" fillId="7" borderId="2" xfId="0" applyNumberFormat="1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164" fontId="2" fillId="11" borderId="2" xfId="0" applyNumberFormat="1" applyFont="1" applyFill="1" applyBorder="1" applyAlignment="1">
      <alignment horizontal="center" vertical="center"/>
    </xf>
    <xf numFmtId="164" fontId="2" fillId="9" borderId="2" xfId="0" applyNumberFormat="1" applyFont="1" applyFill="1" applyBorder="1" applyAlignment="1">
      <alignment horizontal="center" vertical="center"/>
    </xf>
    <xf numFmtId="164" fontId="2" fillId="13" borderId="2" xfId="0" applyNumberFormat="1" applyFont="1" applyFill="1" applyBorder="1" applyAlignment="1">
      <alignment horizontal="center" vertical="center"/>
    </xf>
    <xf numFmtId="0" fontId="2" fillId="13" borderId="2" xfId="0" applyFont="1" applyFill="1" applyBorder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164" fontId="2" fillId="15" borderId="2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164" fontId="0" fillId="8" borderId="2" xfId="0" applyNumberFormat="1" applyFill="1" applyBorder="1" applyAlignment="1">
      <alignment horizontal="center" vertical="center"/>
    </xf>
    <xf numFmtId="164" fontId="0" fillId="10" borderId="2" xfId="0" applyNumberFormat="1" applyFill="1" applyBorder="1" applyAlignment="1">
      <alignment horizontal="center" vertical="center"/>
    </xf>
    <xf numFmtId="164" fontId="0" fillId="12" borderId="2" xfId="0" applyNumberFormat="1" applyFill="1" applyBorder="1" applyAlignment="1">
      <alignment horizontal="center" vertical="center"/>
    </xf>
    <xf numFmtId="164" fontId="0" fillId="14" borderId="2" xfId="0" applyNumberFormat="1" applyFill="1" applyBorder="1" applyAlignment="1">
      <alignment horizontal="center" vertical="center"/>
    </xf>
    <xf numFmtId="164" fontId="0" fillId="16" borderId="2" xfId="0" applyNumberFormat="1" applyFill="1" applyBorder="1" applyAlignment="1">
      <alignment horizontal="center" vertical="center"/>
    </xf>
    <xf numFmtId="2" fontId="1" fillId="10" borderId="2" xfId="0" applyNumberFormat="1" applyFont="1" applyFill="1" applyBorder="1" applyAlignment="1">
      <alignment horizontal="center" vertical="center"/>
    </xf>
    <xf numFmtId="165" fontId="1" fillId="8" borderId="2" xfId="0" applyNumberFormat="1" applyFont="1" applyFill="1" applyBorder="1" applyAlignment="1">
      <alignment horizontal="center" vertical="center"/>
    </xf>
    <xf numFmtId="2" fontId="1" fillId="12" borderId="2" xfId="0" applyNumberFormat="1" applyFont="1" applyFill="1" applyBorder="1" applyAlignment="1">
      <alignment horizontal="center" vertical="center"/>
    </xf>
    <xf numFmtId="2" fontId="1" fillId="14" borderId="2" xfId="0" applyNumberFormat="1" applyFont="1" applyFill="1" applyBorder="1" applyAlignment="1">
      <alignment horizontal="center" vertical="center"/>
    </xf>
    <xf numFmtId="2" fontId="1" fillId="16" borderId="2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164" fontId="4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55">
    <dxf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8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8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8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8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8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7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7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7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7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solid">
          <fgColor indexed="64"/>
          <bgColor theme="7" tint="-0.249977111117893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7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6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6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6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6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solid">
          <fgColor indexed="64"/>
          <bgColor theme="6" tint="-0.249977111117893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6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theme="3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theme="3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theme="3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theme="3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solid">
          <fgColor indexed="64"/>
          <bgColor theme="3" tint="-0.249977111117893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left style="thin">
          <color auto="1"/>
        </left>
      </border>
    </dxf>
    <dxf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8" tint="-0.499984740745262"/>
        </patternFill>
      </fill>
      <alignment horizontal="center" vertical="center" textRotation="0" wrapText="0" indent="0" justifyLastLine="0" shrinkToFit="0" readingOrder="0"/>
    </dxf>
  </dxfs>
  <tableStyles count="1" defaultTableStyle="TableStyleMedium9" defaultPivotStyle="PivotStyleLight16">
    <tableStyle name="Estilo de Tabela 1" pivot="0" count="0" xr9:uid="{FF14FB81-D076-473D-AD4D-AA6A6ADD7E9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A1451E-1856-445F-91B1-70C00F92C073}" name="Tabela2" displayName="Tabela2" ref="A2:Z139" headerRowCount="0" totalsRowShown="0" headerRowDxfId="54" dataDxfId="53" tableBorderDxfId="52">
  <tableColumns count="26">
    <tableColumn id="1" xr3:uid="{0E0568B3-81FA-4DDB-A76E-DB827442115F}" name="Coluna1" headerRowDxfId="51" dataDxfId="50"/>
    <tableColumn id="2" xr3:uid="{771921AF-3196-4558-8056-0079F5BAB971}" name="VELOCIDADE" headerRowDxfId="49" dataDxfId="48"/>
    <tableColumn id="3" xr3:uid="{88D1A0A4-8179-44DD-ACB0-D47911F1C93C}" name="Coluna2" headerRowDxfId="47" dataDxfId="46"/>
    <tableColumn id="4" xr3:uid="{B1FF9A68-748C-4C0D-BD61-273920B4B033}" name="Coluna3" headerRowDxfId="45" dataDxfId="44"/>
    <tableColumn id="5" xr3:uid="{AC6A0686-D338-48D4-AB2B-1D3F105BCEDB}" name="Coluna4" headerRowDxfId="43" dataDxfId="42"/>
    <tableColumn id="6" xr3:uid="{2010E901-CCC9-44DB-BA71-CE89D77C3E09}" name="Coluna5" headerRowDxfId="41" dataDxfId="40"/>
    <tableColumn id="7" xr3:uid="{F2F540AC-4486-4A7F-8627-C466DEAA0849}" name="CORRENTE" headerRowDxfId="39" dataDxfId="38"/>
    <tableColumn id="8" xr3:uid="{94B94590-849F-4DC1-A8CF-07C22FE7C910}" name="Coluna6" headerRowDxfId="37" dataDxfId="36"/>
    <tableColumn id="9" xr3:uid="{F22A7284-67BA-4093-812D-D84407D98A80}" name="Coluna7" headerRowDxfId="35" dataDxfId="34"/>
    <tableColumn id="10" xr3:uid="{8E03FAE5-9BF1-4573-AE13-9CE93A384CDD}" name="Coluna8" headerRowDxfId="33" dataDxfId="32"/>
    <tableColumn id="11" xr3:uid="{CCDD4DE8-19F9-434C-80ED-9DCBD68B1D75}" name="Coluna9" headerRowDxfId="31" dataDxfId="30"/>
    <tableColumn id="12" xr3:uid="{384F0934-72E8-4E59-AC11-E0091E1004EA}" name="PRESSAO_SOLDA" headerRowDxfId="29" dataDxfId="28"/>
    <tableColumn id="13" xr3:uid="{C031329F-616B-4D65-A5C2-18986A35DFF2}" name="Coluna10" headerRowDxfId="27" dataDxfId="26"/>
    <tableColumn id="14" xr3:uid="{E35EFC8E-2BD3-4812-B696-8C80C3103487}" name="Coluna11" headerRowDxfId="25" dataDxfId="24"/>
    <tableColumn id="15" xr3:uid="{1713C249-4DDB-441E-90D2-64EEF29DCFFB}" name="Coluna12" headerRowDxfId="23" dataDxfId="22"/>
    <tableColumn id="16" xr3:uid="{DBE5260D-1786-477D-BCF1-C6EFA928605C}" name="Coluna13" headerRowDxfId="21" dataDxfId="20"/>
    <tableColumn id="17" xr3:uid="{F5E5A301-E6AA-4639-8721-DFC6A6155A26}" name="TEMPERATURA" headerRowDxfId="19" dataDxfId="18"/>
    <tableColumn id="18" xr3:uid="{B2FF4E9E-088D-471D-A191-9308C9C15B5A}" name="Coluna14" headerRowDxfId="17" dataDxfId="16"/>
    <tableColumn id="19" xr3:uid="{1CCEC357-1940-4E43-BB53-F0F818408037}" name="Coluna15" headerRowDxfId="15" dataDxfId="14"/>
    <tableColumn id="20" xr3:uid="{91B0A5BE-5BBB-4884-ACF0-3CDB3451C2AD}" name="Coluna16" headerRowDxfId="13" dataDxfId="12"/>
    <tableColumn id="21" xr3:uid="{3821C30C-8DF0-49F2-A960-A4B28C12D8E2}" name="Coluna17" headerRowDxfId="11" dataDxfId="10"/>
    <tableColumn id="22" xr3:uid="{64D25E1F-FD24-4278-88F5-453DEE54F170}" name="PRESSAO_MARTELADOR" headerRowDxfId="9" dataDxfId="8"/>
    <tableColumn id="23" xr3:uid="{A61411BB-B3EA-41AC-8AD0-3BE63DD8CCAC}" name="Coluna18" headerRowDxfId="7" dataDxfId="6"/>
    <tableColumn id="24" xr3:uid="{4F96CFB9-8F16-4BEE-95B9-4C88B8CE159E}" name="Coluna19" headerRowDxfId="5" dataDxfId="4"/>
    <tableColumn id="25" xr3:uid="{9E798701-DA0C-40AA-B6B9-16764BAA3F58}" name="Coluna20" headerRowDxfId="3" dataDxfId="2"/>
    <tableColumn id="26" xr3:uid="{12296AFB-4D44-4E74-893A-972D9A6FA096}" name="Coluna21" headerRowDxfId="1" dataDxfId="0"/>
  </tableColumns>
  <tableStyleInfo name="Estilo de Tabela 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40"/>
  <sheetViews>
    <sheetView tabSelected="1" showWhiteSpace="0" zoomScale="70" zoomScaleNormal="70" zoomScalePageLayoutView="70" workbookViewId="0">
      <selection activeCell="E26" sqref="E26"/>
    </sheetView>
  </sheetViews>
  <sheetFormatPr defaultRowHeight="15" x14ac:dyDescent="0.25"/>
  <cols>
    <col min="1" max="1" width="17.7109375" bestFit="1" customWidth="1"/>
    <col min="2" max="2" width="22.85546875" style="20" bestFit="1" customWidth="1"/>
    <col min="3" max="3" width="33" style="13" bestFit="1" customWidth="1"/>
    <col min="4" max="4" width="19.7109375" style="13" bestFit="1" customWidth="1"/>
    <col min="5" max="5" width="20.28515625" style="13" bestFit="1" customWidth="1"/>
    <col min="6" max="6" width="28.28515625" style="13" bestFit="1" customWidth="1"/>
    <col min="7" max="7" width="19.7109375" style="11" bestFit="1" customWidth="1"/>
    <col min="8" max="8" width="30" style="13" bestFit="1" customWidth="1"/>
    <col min="9" max="9" width="16.85546875" style="13" bestFit="1" customWidth="1"/>
    <col min="10" max="10" width="17.42578125" style="13" bestFit="1" customWidth="1"/>
    <col min="11" max="11" width="25.28515625" style="13" bestFit="1" customWidth="1"/>
    <col min="12" max="12" width="27.140625" style="22" bestFit="1" customWidth="1"/>
    <col min="13" max="13" width="37.28515625" style="13" bestFit="1" customWidth="1"/>
    <col min="14" max="14" width="24" style="13" bestFit="1" customWidth="1"/>
    <col min="15" max="15" width="24.5703125" style="13" bestFit="1" customWidth="1"/>
    <col min="16" max="16" width="32.5703125" style="13" bestFit="1" customWidth="1"/>
    <col min="17" max="17" width="24" style="27" bestFit="1" customWidth="1"/>
    <col min="18" max="18" width="34.28515625" style="13" bestFit="1" customWidth="1"/>
    <col min="19" max="19" width="21" style="13" bestFit="1" customWidth="1"/>
    <col min="20" max="20" width="21.7109375" style="13" bestFit="1" customWidth="1"/>
    <col min="21" max="21" width="29.5703125" style="13" bestFit="1" customWidth="1"/>
    <col min="22" max="22" width="33.140625" style="12" bestFit="1" customWidth="1"/>
    <col min="23" max="23" width="43.42578125" style="13" bestFit="1" customWidth="1"/>
    <col min="24" max="24" width="30.140625" style="13" bestFit="1" customWidth="1"/>
    <col min="25" max="25" width="30.7109375" style="13" bestFit="1" customWidth="1"/>
    <col min="26" max="26" width="38.7109375" style="13" bestFit="1" customWidth="1"/>
  </cols>
  <sheetData>
    <row r="1" spans="1:30" x14ac:dyDescent="0.25">
      <c r="A1" s="41" t="s">
        <v>0</v>
      </c>
      <c r="B1" s="1" t="s">
        <v>139</v>
      </c>
      <c r="C1" s="2" t="s">
        <v>140</v>
      </c>
      <c r="D1" s="2" t="s">
        <v>141</v>
      </c>
      <c r="E1" s="2" t="s">
        <v>142</v>
      </c>
      <c r="F1" s="2" t="s">
        <v>143</v>
      </c>
      <c r="G1" s="3" t="s">
        <v>144</v>
      </c>
      <c r="H1" s="4" t="s">
        <v>145</v>
      </c>
      <c r="I1" s="4" t="s">
        <v>146</v>
      </c>
      <c r="J1" s="4" t="s">
        <v>147</v>
      </c>
      <c r="K1" s="4" t="s">
        <v>148</v>
      </c>
      <c r="L1" s="5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7" t="s">
        <v>154</v>
      </c>
      <c r="R1" s="8" t="s">
        <v>155</v>
      </c>
      <c r="S1" s="8" t="s">
        <v>156</v>
      </c>
      <c r="T1" s="8" t="s">
        <v>157</v>
      </c>
      <c r="U1" s="8" t="s">
        <v>158</v>
      </c>
      <c r="V1" s="9" t="s">
        <v>159</v>
      </c>
      <c r="W1" s="10" t="s">
        <v>160</v>
      </c>
      <c r="X1" s="10" t="s">
        <v>161</v>
      </c>
      <c r="Y1" s="10" t="s">
        <v>162</v>
      </c>
      <c r="Z1" s="10" t="s">
        <v>163</v>
      </c>
    </row>
    <row r="2" spans="1:30" s="19" customFormat="1" x14ac:dyDescent="0.25">
      <c r="A2" s="29" t="s">
        <v>1</v>
      </c>
      <c r="B2" s="21">
        <f>0.118737037057783*100</f>
        <v>11.873703705778301</v>
      </c>
      <c r="C2" s="37">
        <v>1.224035949481873E-3</v>
      </c>
      <c r="D2" s="31">
        <v>11.869520958083831</v>
      </c>
      <c r="E2" s="31">
        <v>11.876923076923081</v>
      </c>
      <c r="F2" s="14">
        <v>684</v>
      </c>
      <c r="G2" s="24">
        <v>10.019063353611751</v>
      </c>
      <c r="H2" s="36">
        <v>0.71172746259152486</v>
      </c>
      <c r="I2" s="32">
        <v>8.303626943005181</v>
      </c>
      <c r="J2" s="32">
        <v>11.020175438596491</v>
      </c>
      <c r="K2" s="15">
        <v>684</v>
      </c>
      <c r="L2" s="23">
        <v>10.49042088396023</v>
      </c>
      <c r="M2" s="38">
        <v>4.3784881898644913E-2</v>
      </c>
      <c r="N2" s="33">
        <v>10.366666666666671</v>
      </c>
      <c r="O2" s="33">
        <v>10.6</v>
      </c>
      <c r="P2" s="16">
        <v>684</v>
      </c>
      <c r="Q2" s="25">
        <v>42.47849396247689</v>
      </c>
      <c r="R2" s="39">
        <v>15.648664809010672</v>
      </c>
      <c r="S2" s="34">
        <v>24.472727272727269</v>
      </c>
      <c r="T2" s="34">
        <v>88.791189427312773</v>
      </c>
      <c r="U2" s="17">
        <v>684</v>
      </c>
      <c r="V2" s="28">
        <v>5.316374892851063</v>
      </c>
      <c r="W2" s="40">
        <v>0.36551356396571372</v>
      </c>
      <c r="X2" s="35">
        <v>4.1147679324894515</v>
      </c>
      <c r="Y2" s="35">
        <v>5.9318777292576419</v>
      </c>
      <c r="Z2" s="18">
        <v>684</v>
      </c>
      <c r="AC2" s="42" t="s">
        <v>135</v>
      </c>
      <c r="AD2" s="18">
        <v>1482</v>
      </c>
    </row>
    <row r="3" spans="1:30" s="19" customFormat="1" x14ac:dyDescent="0.25">
      <c r="A3" s="30" t="s">
        <v>2</v>
      </c>
      <c r="B3" s="21">
        <f>0.118735100655727*100</f>
        <v>11.873510065572699</v>
      </c>
      <c r="C3" s="37">
        <v>1.206253133134591E-3</v>
      </c>
      <c r="D3" s="31">
        <v>11.867228915662649</v>
      </c>
      <c r="E3" s="31">
        <v>11.877469879518069</v>
      </c>
      <c r="F3" s="14">
        <v>445</v>
      </c>
      <c r="G3" s="24">
        <v>10.81897056166857</v>
      </c>
      <c r="H3" s="36">
        <v>0.40561058327623839</v>
      </c>
      <c r="I3" s="32">
        <v>8.7333333333333325</v>
      </c>
      <c r="J3" s="32">
        <v>11.58556701030928</v>
      </c>
      <c r="K3" s="15">
        <v>445</v>
      </c>
      <c r="L3" s="23">
        <v>11.533232860320471</v>
      </c>
      <c r="M3" s="38">
        <v>1.0398800488036328</v>
      </c>
      <c r="N3" s="33">
        <v>10.39688581314879</v>
      </c>
      <c r="O3" s="33">
        <v>12.689565217391301</v>
      </c>
      <c r="P3" s="16">
        <v>445</v>
      </c>
      <c r="Q3" s="25">
        <v>44.538054097244917</v>
      </c>
      <c r="R3" s="39">
        <v>17.392762521874552</v>
      </c>
      <c r="S3" s="34">
        <v>23.973717948717951</v>
      </c>
      <c r="T3" s="34">
        <v>90.114096916299559</v>
      </c>
      <c r="U3" s="17">
        <v>445</v>
      </c>
      <c r="V3" s="28">
        <v>5.1952768725200711</v>
      </c>
      <c r="W3" s="40">
        <v>0.36320320269727779</v>
      </c>
      <c r="X3" s="35">
        <v>4.0976190476190464</v>
      </c>
      <c r="Y3" s="35">
        <v>5.9168831168831169</v>
      </c>
      <c r="Z3" s="18">
        <v>445</v>
      </c>
      <c r="AC3" s="41" t="s">
        <v>54</v>
      </c>
      <c r="AD3" s="18">
        <v>926</v>
      </c>
    </row>
    <row r="4" spans="1:30" s="19" customFormat="1" x14ac:dyDescent="0.25">
      <c r="A4" s="29" t="s">
        <v>3</v>
      </c>
      <c r="B4" s="21">
        <v>11.873521634009</v>
      </c>
      <c r="C4" s="37">
        <v>1.245566560743438E-3</v>
      </c>
      <c r="D4" s="31">
        <v>11.869695121951219</v>
      </c>
      <c r="E4" s="31">
        <v>11.87951807228916</v>
      </c>
      <c r="F4" s="14">
        <v>567</v>
      </c>
      <c r="G4" s="24">
        <v>10.96481573240214</v>
      </c>
      <c r="H4" s="36">
        <v>0.80370152830444508</v>
      </c>
      <c r="I4" s="32">
        <v>7.7288590604026854</v>
      </c>
      <c r="J4" s="32">
        <v>13.004137931034482</v>
      </c>
      <c r="K4" s="15">
        <v>567</v>
      </c>
      <c r="L4" s="23">
        <v>11.769449724450421</v>
      </c>
      <c r="M4" s="38">
        <v>1.013777112495027</v>
      </c>
      <c r="N4" s="33">
        <v>10.370000000000001</v>
      </c>
      <c r="O4" s="33">
        <v>12.7</v>
      </c>
      <c r="P4" s="16">
        <v>567</v>
      </c>
      <c r="Q4" s="25">
        <v>45.651879408008988</v>
      </c>
      <c r="R4" s="39">
        <v>16.257672793080861</v>
      </c>
      <c r="S4" s="34">
        <v>25.967741935483872</v>
      </c>
      <c r="T4" s="34">
        <v>89.703759398496246</v>
      </c>
      <c r="U4" s="17">
        <v>567</v>
      </c>
      <c r="V4" s="28">
        <v>5.3407561361994471</v>
      </c>
      <c r="W4" s="40">
        <v>0.3316912716308521</v>
      </c>
      <c r="X4" s="35">
        <v>4.2170940170940172</v>
      </c>
      <c r="Y4" s="35">
        <v>5.9592105263157897</v>
      </c>
      <c r="Z4" s="18">
        <v>567</v>
      </c>
      <c r="AC4" s="41" t="s">
        <v>8</v>
      </c>
      <c r="AD4" s="18">
        <v>920</v>
      </c>
    </row>
    <row r="5" spans="1:30" s="19" customFormat="1" x14ac:dyDescent="0.25">
      <c r="A5" s="29" t="s">
        <v>4</v>
      </c>
      <c r="B5" s="21">
        <v>10.19422396015727</v>
      </c>
      <c r="C5" s="37">
        <v>9.125685181641534E-4</v>
      </c>
      <c r="D5" s="31">
        <v>10.19103825136612</v>
      </c>
      <c r="E5" s="31">
        <v>10.19688311688312</v>
      </c>
      <c r="F5" s="14">
        <v>402</v>
      </c>
      <c r="G5" s="24">
        <v>11.369060288270489</v>
      </c>
      <c r="H5" s="36">
        <v>0.54148002383758498</v>
      </c>
      <c r="I5" s="32">
        <v>9.7052173913043482</v>
      </c>
      <c r="J5" s="32">
        <v>12.23982683982684</v>
      </c>
      <c r="K5" s="15">
        <v>402</v>
      </c>
      <c r="L5" s="23">
        <v>14.65960528112932</v>
      </c>
      <c r="M5" s="38">
        <v>5.2763502840075457E-2</v>
      </c>
      <c r="N5" s="33">
        <v>14.40106382978723</v>
      </c>
      <c r="O5" s="33">
        <v>14.786254295532649</v>
      </c>
      <c r="P5" s="16">
        <v>402</v>
      </c>
      <c r="Q5" s="25">
        <v>47.840627359738491</v>
      </c>
      <c r="R5" s="39">
        <v>19.341684841338427</v>
      </c>
      <c r="S5" s="34">
        <v>26.951528384279481</v>
      </c>
      <c r="T5" s="34">
        <v>90.892982456140345</v>
      </c>
      <c r="U5" s="17">
        <v>402</v>
      </c>
      <c r="V5" s="28">
        <v>16.840132816471318</v>
      </c>
      <c r="W5" s="40">
        <v>0.39220156705160247</v>
      </c>
      <c r="X5" s="35">
        <v>15.6971119133574</v>
      </c>
      <c r="Y5" s="35">
        <v>17.418775510204078</v>
      </c>
      <c r="Z5" s="18">
        <v>402</v>
      </c>
      <c r="AC5" s="41" t="s">
        <v>55</v>
      </c>
      <c r="AD5" s="18">
        <v>914</v>
      </c>
    </row>
    <row r="6" spans="1:30" x14ac:dyDescent="0.25">
      <c r="A6" s="29" t="s">
        <v>5</v>
      </c>
      <c r="B6" s="21">
        <v>8.3946094116085082</v>
      </c>
      <c r="C6" s="37">
        <v>6.0388628419155558E-4</v>
      </c>
      <c r="D6" s="31">
        <v>8.3924096385542164</v>
      </c>
      <c r="E6" s="31">
        <v>8.3962008733624458</v>
      </c>
      <c r="F6" s="14">
        <v>313</v>
      </c>
      <c r="G6" s="24">
        <v>11.562674323390791</v>
      </c>
      <c r="H6" s="36">
        <v>0.57525208868595512</v>
      </c>
      <c r="I6" s="32">
        <v>8.5180616740088109</v>
      </c>
      <c r="J6" s="32">
        <v>12.670114942528739</v>
      </c>
      <c r="K6" s="15">
        <v>313</v>
      </c>
      <c r="L6" s="23">
        <v>16.685854166925559</v>
      </c>
      <c r="M6" s="38">
        <v>0.20027977629688651</v>
      </c>
      <c r="N6" s="33">
        <v>14.730252100840341</v>
      </c>
      <c r="O6" s="33">
        <v>16.898287671232879</v>
      </c>
      <c r="P6" s="16">
        <v>313</v>
      </c>
      <c r="Q6" s="25">
        <v>53.09548752831595</v>
      </c>
      <c r="R6" s="39">
        <v>21.12588659800732</v>
      </c>
      <c r="S6" s="34">
        <v>26.881385281385281</v>
      </c>
      <c r="T6" s="34">
        <v>90.95</v>
      </c>
      <c r="U6" s="17">
        <v>313</v>
      </c>
      <c r="V6" s="28">
        <v>28.32868353872281</v>
      </c>
      <c r="W6" s="40">
        <v>0.39707329363476412</v>
      </c>
      <c r="X6" s="35">
        <v>27.235384615384618</v>
      </c>
      <c r="Y6" s="35">
        <v>28.951595744680851</v>
      </c>
      <c r="Z6" s="18">
        <v>313</v>
      </c>
      <c r="AC6" s="41" t="s">
        <v>6</v>
      </c>
      <c r="AD6" s="18">
        <v>719</v>
      </c>
    </row>
    <row r="7" spans="1:30" x14ac:dyDescent="0.25">
      <c r="A7" s="29" t="s">
        <v>6</v>
      </c>
      <c r="B7" s="21">
        <v>7.1947648000336155</v>
      </c>
      <c r="C7" s="37">
        <v>5.6901938187746762E-4</v>
      </c>
      <c r="D7" s="31">
        <v>7.1929909365558906</v>
      </c>
      <c r="E7" s="31">
        <v>7.1962345679012341</v>
      </c>
      <c r="F7" s="14">
        <v>719</v>
      </c>
      <c r="G7" s="24">
        <v>11.65856639683059</v>
      </c>
      <c r="H7" s="36">
        <v>0.48763783648544851</v>
      </c>
      <c r="I7" s="32">
        <v>8.8631578947368421</v>
      </c>
      <c r="J7" s="32">
        <v>12.670114942528739</v>
      </c>
      <c r="K7" s="15">
        <v>719</v>
      </c>
      <c r="L7" s="23">
        <v>16.678508460823579</v>
      </c>
      <c r="M7" s="38">
        <v>0.21478853969513109</v>
      </c>
      <c r="N7" s="33">
        <v>13.584905660377359</v>
      </c>
      <c r="O7" s="33">
        <v>16.89832635983263</v>
      </c>
      <c r="P7" s="16">
        <v>719</v>
      </c>
      <c r="Q7" s="25">
        <v>47.491660818156191</v>
      </c>
      <c r="R7" s="39">
        <v>19.705428198217398</v>
      </c>
      <c r="S7" s="34">
        <v>26.880616740088112</v>
      </c>
      <c r="T7" s="34">
        <v>93.610232558139529</v>
      </c>
      <c r="U7" s="17">
        <v>719</v>
      </c>
      <c r="V7" s="28">
        <v>28.327175701080527</v>
      </c>
      <c r="W7" s="40">
        <v>0.3925181893716137</v>
      </c>
      <c r="X7" s="35">
        <v>27.171929824561403</v>
      </c>
      <c r="Y7" s="35">
        <v>28.974</v>
      </c>
      <c r="Z7" s="18">
        <v>719</v>
      </c>
      <c r="AC7" s="41" t="s">
        <v>1</v>
      </c>
      <c r="AD7" s="18">
        <v>684</v>
      </c>
    </row>
    <row r="8" spans="1:30" x14ac:dyDescent="0.25">
      <c r="A8" s="29" t="s">
        <v>7</v>
      </c>
      <c r="B8" s="21">
        <v>7.1947030601294077</v>
      </c>
      <c r="C8" s="37">
        <v>5.879211289077749E-4</v>
      </c>
      <c r="D8" s="31">
        <v>7.1931693989071039</v>
      </c>
      <c r="E8" s="31">
        <v>7.1969594594594595</v>
      </c>
      <c r="F8" s="14">
        <v>367</v>
      </c>
      <c r="G8" s="24">
        <v>11.62694491150865</v>
      </c>
      <c r="H8" s="36">
        <v>0.4891205046676978</v>
      </c>
      <c r="I8" s="32">
        <v>9.0890829694323152</v>
      </c>
      <c r="J8" s="32">
        <v>12.62742857142857</v>
      </c>
      <c r="K8" s="15">
        <v>367</v>
      </c>
      <c r="L8" s="23">
        <v>16.680154938637759</v>
      </c>
      <c r="M8" s="38">
        <v>0.2013308455365149</v>
      </c>
      <c r="N8" s="33">
        <v>14.564912280701751</v>
      </c>
      <c r="O8" s="33">
        <v>16.898245614035091</v>
      </c>
      <c r="P8" s="16">
        <v>367</v>
      </c>
      <c r="Q8" s="25">
        <v>49.236526245430561</v>
      </c>
      <c r="R8" s="39">
        <v>21.944191975601939</v>
      </c>
      <c r="S8" s="34">
        <v>26.841666666666669</v>
      </c>
      <c r="T8" s="34">
        <v>95.127741935483868</v>
      </c>
      <c r="U8" s="17">
        <v>367</v>
      </c>
      <c r="V8" s="28">
        <v>28.330109031208202</v>
      </c>
      <c r="W8" s="40">
        <v>0.3959142161052156</v>
      </c>
      <c r="X8" s="35">
        <v>27.226020408163272</v>
      </c>
      <c r="Y8" s="35">
        <v>29.009205020920501</v>
      </c>
      <c r="Z8" s="18">
        <v>367</v>
      </c>
      <c r="AC8" s="41" t="s">
        <v>56</v>
      </c>
      <c r="AD8" s="18">
        <v>670</v>
      </c>
    </row>
    <row r="9" spans="1:30" x14ac:dyDescent="0.25">
      <c r="A9" s="29" t="s">
        <v>8</v>
      </c>
      <c r="B9" s="21">
        <v>5.9953333574935872</v>
      </c>
      <c r="C9" s="37">
        <v>6.8541543008749728E-4</v>
      </c>
      <c r="D9" s="31">
        <v>5.9937158469945357</v>
      </c>
      <c r="E9" s="31">
        <v>5.9978823529411764</v>
      </c>
      <c r="F9" s="14">
        <v>920</v>
      </c>
      <c r="G9" s="24">
        <v>11.737055513897179</v>
      </c>
      <c r="H9" s="36">
        <v>0.53393380149485981</v>
      </c>
      <c r="I9" s="32">
        <v>9.2131004366812217</v>
      </c>
      <c r="J9" s="32">
        <v>13.455000000000002</v>
      </c>
      <c r="K9" s="15">
        <v>920</v>
      </c>
      <c r="L9" s="23">
        <v>14.220398979353991</v>
      </c>
      <c r="M9" s="38">
        <v>8.5183751060235458E-2</v>
      </c>
      <c r="N9" s="33">
        <v>13.8882096069869</v>
      </c>
      <c r="O9" s="33">
        <v>14.45021459227468</v>
      </c>
      <c r="P9" s="16">
        <v>920</v>
      </c>
      <c r="Q9" s="25">
        <v>47.815289925534437</v>
      </c>
      <c r="R9" s="39">
        <v>20.46819673051149</v>
      </c>
      <c r="S9" s="34">
        <v>26.360352422907489</v>
      </c>
      <c r="T9" s="34">
        <v>96.481069958847741</v>
      </c>
      <c r="U9" s="17">
        <v>920</v>
      </c>
      <c r="V9" s="28">
        <v>28.350528370382477</v>
      </c>
      <c r="W9" s="40">
        <v>0.37067385190409641</v>
      </c>
      <c r="X9" s="35">
        <v>27.256828193832597</v>
      </c>
      <c r="Y9" s="35">
        <v>29.082327586206901</v>
      </c>
      <c r="Z9" s="18">
        <v>920</v>
      </c>
      <c r="AC9" s="41" t="s">
        <v>94</v>
      </c>
      <c r="AD9" s="18">
        <v>638</v>
      </c>
    </row>
    <row r="10" spans="1:30" x14ac:dyDescent="0.25">
      <c r="A10" s="29" t="s">
        <v>9</v>
      </c>
      <c r="B10" s="21">
        <v>5.9951696925164804</v>
      </c>
      <c r="C10" s="37">
        <v>6.440043047834192E-4</v>
      </c>
      <c r="D10" s="31">
        <v>5.9934497816593888</v>
      </c>
      <c r="E10" s="31">
        <v>5.9972177419354837</v>
      </c>
      <c r="F10" s="14">
        <v>319</v>
      </c>
      <c r="G10" s="24">
        <v>11.783434754384249</v>
      </c>
      <c r="H10" s="36">
        <v>0.5125993543110785</v>
      </c>
      <c r="I10" s="32">
        <v>9.2641350210970455</v>
      </c>
      <c r="J10" s="32">
        <v>12.70456140350877</v>
      </c>
      <c r="K10" s="15">
        <v>319</v>
      </c>
      <c r="L10" s="23">
        <v>16.219196711516339</v>
      </c>
      <c r="M10" s="38">
        <v>9.8960738262141162E-2</v>
      </c>
      <c r="N10" s="33">
        <v>15.907258064516132</v>
      </c>
      <c r="O10" s="33">
        <v>16.471739130434781</v>
      </c>
      <c r="P10" s="16">
        <v>319</v>
      </c>
      <c r="Q10" s="25">
        <v>43.07466609506411</v>
      </c>
      <c r="R10" s="39">
        <v>17.630701381906512</v>
      </c>
      <c r="S10" s="34">
        <v>26.190753424657533</v>
      </c>
      <c r="T10" s="34">
        <v>90.709016393442624</v>
      </c>
      <c r="U10" s="17">
        <v>319</v>
      </c>
      <c r="V10" s="28">
        <v>51.169083911102213</v>
      </c>
      <c r="W10" s="40">
        <v>4.0891954831232926</v>
      </c>
      <c r="X10" s="35">
        <v>0</v>
      </c>
      <c r="Y10" s="35">
        <v>52.29438596491228</v>
      </c>
      <c r="Z10" s="18">
        <v>319</v>
      </c>
      <c r="AC10" s="42" t="s">
        <v>10</v>
      </c>
      <c r="AD10" s="18">
        <v>631</v>
      </c>
    </row>
    <row r="11" spans="1:30" s="19" customFormat="1" x14ac:dyDescent="0.25">
      <c r="A11" s="30" t="s">
        <v>10</v>
      </c>
      <c r="B11" s="21">
        <v>5.9905206794127501</v>
      </c>
      <c r="C11" s="37">
        <v>3.2851667069851188E-2</v>
      </c>
      <c r="D11" s="31">
        <v>5.754145299145299</v>
      </c>
      <c r="E11" s="31">
        <v>5.9971489361702126</v>
      </c>
      <c r="F11" s="14">
        <v>631</v>
      </c>
      <c r="G11" s="24">
        <v>12.78319259562592</v>
      </c>
      <c r="H11" s="36">
        <v>1.0453260109042142</v>
      </c>
      <c r="I11" s="32">
        <v>0</v>
      </c>
      <c r="J11" s="32">
        <v>14.09931972789116</v>
      </c>
      <c r="K11" s="15">
        <v>631</v>
      </c>
      <c r="L11" s="23">
        <v>18.210063381415718</v>
      </c>
      <c r="M11" s="38">
        <v>0.502325119121657</v>
      </c>
      <c r="N11" s="33">
        <v>12.010699588477369</v>
      </c>
      <c r="O11" s="33">
        <v>18.482775119617219</v>
      </c>
      <c r="P11" s="16">
        <v>631</v>
      </c>
      <c r="Q11" s="25">
        <v>54.049141943930216</v>
      </c>
      <c r="R11" s="39">
        <v>23.927213478259219</v>
      </c>
      <c r="S11" s="34">
        <v>18.496521739130429</v>
      </c>
      <c r="T11" s="34">
        <v>98.688260869565212</v>
      </c>
      <c r="U11" s="17">
        <v>631</v>
      </c>
      <c r="V11" s="28">
        <v>51.495455882839586</v>
      </c>
      <c r="W11" s="40">
        <v>0.42880369415382652</v>
      </c>
      <c r="X11" s="35">
        <v>50.159227467811164</v>
      </c>
      <c r="Y11" s="35">
        <v>52.273977695167289</v>
      </c>
      <c r="Z11" s="18">
        <v>631</v>
      </c>
      <c r="AC11" s="42" t="s">
        <v>3</v>
      </c>
      <c r="AD11" s="18">
        <v>567</v>
      </c>
    </row>
    <row r="12" spans="1:30" s="19" customFormat="1" x14ac:dyDescent="0.25">
      <c r="A12" s="30" t="s">
        <v>11</v>
      </c>
      <c r="B12" s="21">
        <v>11.87313153187908</v>
      </c>
      <c r="C12" s="37">
        <v>9.2622705609316576E-5</v>
      </c>
      <c r="D12" s="31">
        <v>11.87306603773585</v>
      </c>
      <c r="E12" s="31">
        <v>11.873197026022311</v>
      </c>
      <c r="F12" s="14">
        <v>2</v>
      </c>
      <c r="G12" s="24">
        <v>10.611717051273059</v>
      </c>
      <c r="H12" s="36">
        <v>0.2273682834392563</v>
      </c>
      <c r="I12" s="32">
        <v>10.450943396226419</v>
      </c>
      <c r="J12" s="32">
        <v>10.772490706319699</v>
      </c>
      <c r="K12" s="15">
        <v>2</v>
      </c>
      <c r="L12" s="23">
        <v>10.497169811320749</v>
      </c>
      <c r="M12" s="38">
        <v>0.1454238474515728</v>
      </c>
      <c r="N12" s="33">
        <v>10.39433962264151</v>
      </c>
      <c r="O12" s="33">
        <v>10.6</v>
      </c>
      <c r="P12" s="16">
        <v>2</v>
      </c>
      <c r="Q12" s="25">
        <v>80.871013361857337</v>
      </c>
      <c r="R12" s="39">
        <v>4.5091721319595663</v>
      </c>
      <c r="S12" s="34">
        <v>77.682547169811329</v>
      </c>
      <c r="T12" s="34">
        <v>84.059479553903344</v>
      </c>
      <c r="U12" s="17">
        <v>2</v>
      </c>
      <c r="V12" s="28">
        <v>4.9862181735287932</v>
      </c>
      <c r="W12" s="40">
        <v>0.63091437640796144</v>
      </c>
      <c r="X12" s="35">
        <v>4.5400943396226419</v>
      </c>
      <c r="Y12" s="35">
        <v>5.4323420074349444</v>
      </c>
      <c r="Z12" s="18">
        <v>2</v>
      </c>
      <c r="AC12" s="42" t="s">
        <v>57</v>
      </c>
      <c r="AD12" s="18">
        <v>488</v>
      </c>
    </row>
    <row r="13" spans="1:30" s="19" customFormat="1" x14ac:dyDescent="0.25">
      <c r="A13" s="30" t="s">
        <v>12</v>
      </c>
      <c r="B13" s="21">
        <v>11.87355907957283</v>
      </c>
      <c r="C13" s="37">
        <v>1.3537773702476941E-3</v>
      </c>
      <c r="D13" s="31">
        <v>11.870573248407641</v>
      </c>
      <c r="E13" s="31">
        <v>11.87624454148472</v>
      </c>
      <c r="F13" s="14">
        <v>27</v>
      </c>
      <c r="G13" s="24">
        <v>10.80045817052193</v>
      </c>
      <c r="H13" s="36">
        <v>0.50662592667882467</v>
      </c>
      <c r="I13" s="32">
        <v>9.9403314917127084</v>
      </c>
      <c r="J13" s="32">
        <v>11.575172413793101</v>
      </c>
      <c r="K13" s="15">
        <v>27</v>
      </c>
      <c r="L13" s="23">
        <v>11.74230260261554</v>
      </c>
      <c r="M13" s="38">
        <v>1.032525079890539</v>
      </c>
      <c r="N13" s="33">
        <v>10.467248908296941</v>
      </c>
      <c r="O13" s="33">
        <v>12.7</v>
      </c>
      <c r="P13" s="16">
        <v>27</v>
      </c>
      <c r="Q13" s="25">
        <v>48.329813593866298</v>
      </c>
      <c r="R13" s="39">
        <v>21.62038122664578</v>
      </c>
      <c r="S13" s="34">
        <v>27.438222222222219</v>
      </c>
      <c r="T13" s="34">
        <v>89.725652173913048</v>
      </c>
      <c r="U13" s="17">
        <v>27</v>
      </c>
      <c r="V13" s="28">
        <v>5.3610479279301355</v>
      </c>
      <c r="W13" s="40">
        <v>0.32219794497355297</v>
      </c>
      <c r="X13" s="35">
        <v>4.3979310344827587</v>
      </c>
      <c r="Y13" s="35">
        <v>5.8585714285714285</v>
      </c>
      <c r="Z13" s="18">
        <v>27</v>
      </c>
      <c r="AC13" s="42" t="s">
        <v>2</v>
      </c>
      <c r="AD13" s="18">
        <v>445</v>
      </c>
    </row>
    <row r="14" spans="1:30" s="19" customFormat="1" x14ac:dyDescent="0.25">
      <c r="A14" s="30" t="s">
        <v>13</v>
      </c>
      <c r="B14" s="21">
        <v>11.873284678925099</v>
      </c>
      <c r="C14" s="37">
        <v>1.434668805350424E-3</v>
      </c>
      <c r="D14" s="31">
        <v>11.86936305732484</v>
      </c>
      <c r="E14" s="31">
        <v>11.87634328358209</v>
      </c>
      <c r="F14" s="14">
        <v>96</v>
      </c>
      <c r="G14" s="24">
        <v>11.02120664298293</v>
      </c>
      <c r="H14" s="36">
        <v>0.62533244102355534</v>
      </c>
      <c r="I14" s="32">
        <v>9.2051724137931039</v>
      </c>
      <c r="J14" s="32">
        <v>12.691970802919709</v>
      </c>
      <c r="K14" s="15">
        <v>96</v>
      </c>
      <c r="L14" s="23">
        <v>11.698533161204109</v>
      </c>
      <c r="M14" s="38">
        <v>1.016361882760805</v>
      </c>
      <c r="N14" s="33">
        <v>10.40218181818182</v>
      </c>
      <c r="O14" s="33">
        <v>12.7</v>
      </c>
      <c r="P14" s="16">
        <v>96</v>
      </c>
      <c r="Q14" s="25">
        <v>47.684236367010534</v>
      </c>
      <c r="R14" s="39">
        <v>20.400502867642011</v>
      </c>
      <c r="S14" s="34">
        <v>26.888324873096451</v>
      </c>
      <c r="T14" s="34">
        <v>88.757079646017701</v>
      </c>
      <c r="U14" s="17">
        <v>96</v>
      </c>
      <c r="V14" s="28">
        <v>5.2836943025170147</v>
      </c>
      <c r="W14" s="40">
        <v>0.36118835532625848</v>
      </c>
      <c r="X14" s="35">
        <v>4.114915254237288</v>
      </c>
      <c r="Y14" s="35">
        <v>5.8987951807228916</v>
      </c>
      <c r="Z14" s="18">
        <v>96</v>
      </c>
      <c r="AC14" s="42" t="s">
        <v>4</v>
      </c>
      <c r="AD14" s="18">
        <v>402</v>
      </c>
    </row>
    <row r="15" spans="1:30" s="19" customFormat="1" x14ac:dyDescent="0.25">
      <c r="A15" s="30" t="s">
        <v>14</v>
      </c>
      <c r="B15" s="21">
        <v>10.19417967160722</v>
      </c>
      <c r="C15" s="37">
        <v>9.657942423179879E-4</v>
      </c>
      <c r="D15" s="31">
        <v>10.191904761904761</v>
      </c>
      <c r="E15" s="31">
        <v>10.19649425287356</v>
      </c>
      <c r="F15" s="14">
        <v>66</v>
      </c>
      <c r="G15" s="24">
        <v>11.30443366330023</v>
      </c>
      <c r="H15" s="36">
        <v>0.57747194641603083</v>
      </c>
      <c r="I15" s="32">
        <v>9.007821229050279</v>
      </c>
      <c r="J15" s="32">
        <v>12.341428571428569</v>
      </c>
      <c r="K15" s="15">
        <v>66</v>
      </c>
      <c r="L15" s="23">
        <v>14.642796247195571</v>
      </c>
      <c r="M15" s="38">
        <v>5.6524941243159821E-2</v>
      </c>
      <c r="N15" s="33">
        <v>14.5</v>
      </c>
      <c r="O15" s="33">
        <v>14.75526315789474</v>
      </c>
      <c r="P15" s="16">
        <v>66</v>
      </c>
      <c r="Q15" s="25">
        <v>43.840964128490718</v>
      </c>
      <c r="R15" s="39">
        <v>19.35501141744518</v>
      </c>
      <c r="S15" s="34">
        <v>27.623348017621151</v>
      </c>
      <c r="T15" s="34">
        <v>92.255263157894746</v>
      </c>
      <c r="U15" s="17">
        <v>66</v>
      </c>
      <c r="V15" s="28">
        <v>16.77133681879608</v>
      </c>
      <c r="W15" s="40">
        <v>0.36372872054601763</v>
      </c>
      <c r="X15" s="35">
        <v>15.900434782608702</v>
      </c>
      <c r="Y15" s="35">
        <v>17.36798245614035</v>
      </c>
      <c r="Z15" s="18">
        <v>66</v>
      </c>
      <c r="AC15" s="42" t="s">
        <v>93</v>
      </c>
      <c r="AD15" s="18">
        <v>374</v>
      </c>
    </row>
    <row r="16" spans="1:30" s="19" customFormat="1" x14ac:dyDescent="0.25">
      <c r="A16" s="30" t="s">
        <v>15</v>
      </c>
      <c r="B16" s="21">
        <v>8.3944662273380306</v>
      </c>
      <c r="C16" s="37">
        <v>6.8454748756803041E-4</v>
      </c>
      <c r="D16" s="31">
        <v>8.3918072289156616</v>
      </c>
      <c r="E16" s="31">
        <v>8.395695652173913</v>
      </c>
      <c r="F16" s="14">
        <v>85</v>
      </c>
      <c r="G16" s="24">
        <v>11.43694668956528</v>
      </c>
      <c r="H16" s="36">
        <v>0.56433674501179176</v>
      </c>
      <c r="I16" s="32">
        <v>9.9089887640449437</v>
      </c>
      <c r="J16" s="32">
        <v>12.41760563380282</v>
      </c>
      <c r="K16" s="15">
        <v>85</v>
      </c>
      <c r="L16" s="23">
        <v>16.673903902585952</v>
      </c>
      <c r="M16" s="38">
        <v>9.7447150203972183E-2</v>
      </c>
      <c r="N16" s="33">
        <v>16.286784140969161</v>
      </c>
      <c r="O16" s="33">
        <v>16.899999999999999</v>
      </c>
      <c r="P16" s="16">
        <v>85</v>
      </c>
      <c r="Q16" s="25">
        <v>42.461446648564269</v>
      </c>
      <c r="R16" s="39">
        <v>16.810089100435128</v>
      </c>
      <c r="S16" s="34">
        <v>26.00403225806452</v>
      </c>
      <c r="T16" s="34">
        <v>89.817117117117121</v>
      </c>
      <c r="U16" s="17">
        <v>85</v>
      </c>
      <c r="V16" s="28">
        <v>28.202767439325363</v>
      </c>
      <c r="W16" s="40">
        <v>0.44568038551904399</v>
      </c>
      <c r="X16" s="35">
        <v>27.265502183406106</v>
      </c>
      <c r="Y16" s="35">
        <v>28.9546218487395</v>
      </c>
      <c r="Z16" s="18">
        <v>85</v>
      </c>
      <c r="AC16" s="42" t="s">
        <v>7</v>
      </c>
      <c r="AD16" s="18">
        <v>367</v>
      </c>
    </row>
    <row r="17" spans="1:30" s="19" customFormat="1" x14ac:dyDescent="0.25">
      <c r="A17" s="30" t="s">
        <v>16</v>
      </c>
      <c r="B17" s="21">
        <v>7.1947154995508891</v>
      </c>
      <c r="C17" s="37">
        <v>5.6187804232977025E-4</v>
      </c>
      <c r="D17" s="31">
        <v>7.1936082474226808</v>
      </c>
      <c r="E17" s="31">
        <v>7.1959900990099017</v>
      </c>
      <c r="F17" s="14">
        <v>103</v>
      </c>
      <c r="G17" s="24">
        <v>11.500708004483501</v>
      </c>
      <c r="H17" s="36">
        <v>0.51430436148817904</v>
      </c>
      <c r="I17" s="32">
        <v>10.11243781094527</v>
      </c>
      <c r="J17" s="32">
        <v>12.445414847161569</v>
      </c>
      <c r="K17" s="15">
        <v>103</v>
      </c>
      <c r="L17" s="23">
        <v>16.662791514312367</v>
      </c>
      <c r="M17" s="38">
        <v>0.1625332241555317</v>
      </c>
      <c r="N17" s="33">
        <v>15.3407960199005</v>
      </c>
      <c r="O17" s="33">
        <v>16.899999999999999</v>
      </c>
      <c r="P17" s="16">
        <v>103</v>
      </c>
      <c r="Q17" s="25">
        <v>46.985696068659919</v>
      </c>
      <c r="R17" s="39">
        <v>17.261334199685852</v>
      </c>
      <c r="S17" s="34">
        <v>27.186885245901642</v>
      </c>
      <c r="T17" s="34">
        <v>91.61639344262295</v>
      </c>
      <c r="U17" s="17">
        <v>103</v>
      </c>
      <c r="V17" s="28">
        <v>28.256641485658587</v>
      </c>
      <c r="W17" s="40">
        <v>0.42189505540280015</v>
      </c>
      <c r="X17" s="35">
        <v>27.191269841269836</v>
      </c>
      <c r="Y17" s="35">
        <v>28.809163346613548</v>
      </c>
      <c r="Z17" s="18">
        <v>103</v>
      </c>
      <c r="AC17" s="42" t="s">
        <v>9</v>
      </c>
      <c r="AD17" s="18">
        <v>319</v>
      </c>
    </row>
    <row r="18" spans="1:30" s="19" customFormat="1" x14ac:dyDescent="0.25">
      <c r="A18" s="30" t="s">
        <v>17</v>
      </c>
      <c r="B18" s="21">
        <v>7.194596184640119</v>
      </c>
      <c r="C18" s="37">
        <v>5.8952208964694979E-4</v>
      </c>
      <c r="D18" s="31">
        <v>7.1933771929824557</v>
      </c>
      <c r="E18" s="31">
        <v>7.1960130718954245</v>
      </c>
      <c r="F18" s="14">
        <v>86</v>
      </c>
      <c r="G18" s="24">
        <v>11.56898030611943</v>
      </c>
      <c r="H18" s="36">
        <v>0.55108657438862374</v>
      </c>
      <c r="I18" s="32">
        <v>9.1283842794759824</v>
      </c>
      <c r="J18" s="32">
        <v>12.3359649122807</v>
      </c>
      <c r="K18" s="15">
        <v>86</v>
      </c>
      <c r="L18" s="23">
        <v>16.63705539061402</v>
      </c>
      <c r="M18" s="38">
        <v>0.2225419024024739</v>
      </c>
      <c r="N18" s="33">
        <v>15.4185</v>
      </c>
      <c r="O18" s="33">
        <v>16.848034934497822</v>
      </c>
      <c r="P18" s="16">
        <v>86</v>
      </c>
      <c r="Q18" s="25">
        <v>46.207369558915296</v>
      </c>
      <c r="R18" s="39">
        <v>20.60080964844801</v>
      </c>
      <c r="S18" s="34">
        <v>26.289082969432307</v>
      </c>
      <c r="T18" s="34">
        <v>93.244541484716166</v>
      </c>
      <c r="U18" s="17">
        <v>86</v>
      </c>
      <c r="V18" s="28">
        <v>28.275624510648072</v>
      </c>
      <c r="W18" s="40">
        <v>0.41175081857350221</v>
      </c>
      <c r="X18" s="35">
        <v>27.291666666666668</v>
      </c>
      <c r="Y18" s="35">
        <v>28.95064377682403</v>
      </c>
      <c r="Z18" s="18">
        <v>86</v>
      </c>
      <c r="AC18" s="42" t="s">
        <v>60</v>
      </c>
      <c r="AD18" s="18">
        <v>315</v>
      </c>
    </row>
    <row r="19" spans="1:30" s="19" customFormat="1" x14ac:dyDescent="0.25">
      <c r="A19" s="30" t="s">
        <v>18</v>
      </c>
      <c r="B19" s="21">
        <v>5.995338106106467</v>
      </c>
      <c r="C19" s="37">
        <v>7.0899229342182772E-4</v>
      </c>
      <c r="D19" s="31">
        <v>5.9940437158469946</v>
      </c>
      <c r="E19" s="31">
        <v>5.9971806167400885</v>
      </c>
      <c r="F19" s="14">
        <v>50</v>
      </c>
      <c r="G19" s="24">
        <v>11.73970926753519</v>
      </c>
      <c r="H19" s="36">
        <v>0.47352294625204661</v>
      </c>
      <c r="I19" s="32">
        <v>10.537254901960781</v>
      </c>
      <c r="J19" s="32">
        <v>13.47894736842105</v>
      </c>
      <c r="K19" s="15">
        <v>50</v>
      </c>
      <c r="L19" s="23">
        <v>14.189254135024779</v>
      </c>
      <c r="M19" s="38">
        <v>0.11031236517642851</v>
      </c>
      <c r="N19" s="33">
        <v>13.992703862660941</v>
      </c>
      <c r="O19" s="33">
        <v>14.39562841530055</v>
      </c>
      <c r="P19" s="16">
        <v>50</v>
      </c>
      <c r="Q19" s="25">
        <v>45.345153684906634</v>
      </c>
      <c r="R19" s="39">
        <v>19.799490667244871</v>
      </c>
      <c r="S19" s="34">
        <v>26.82619926199262</v>
      </c>
      <c r="T19" s="34">
        <v>91.064824120603021</v>
      </c>
      <c r="U19" s="17">
        <v>50</v>
      </c>
      <c r="V19" s="28">
        <v>28.260924788673151</v>
      </c>
      <c r="W19" s="40">
        <v>0.4217810277247368</v>
      </c>
      <c r="X19" s="35">
        <v>27.470386266094419</v>
      </c>
      <c r="Y19" s="35">
        <v>29.026315789473681</v>
      </c>
      <c r="Z19" s="18">
        <v>50</v>
      </c>
      <c r="AC19" s="42" t="s">
        <v>5</v>
      </c>
      <c r="AD19" s="18">
        <v>313</v>
      </c>
    </row>
    <row r="20" spans="1:30" s="19" customFormat="1" x14ac:dyDescent="0.25">
      <c r="A20" s="30" t="s">
        <v>19</v>
      </c>
      <c r="B20" s="21">
        <v>5.9951516115971648</v>
      </c>
      <c r="C20" s="37">
        <v>6.7350370482547174E-4</v>
      </c>
      <c r="D20" s="31">
        <v>5.9936065573770501</v>
      </c>
      <c r="E20" s="31">
        <v>5.9971666666666668</v>
      </c>
      <c r="F20" s="14">
        <v>49</v>
      </c>
      <c r="G20" s="24">
        <v>11.63776401886248</v>
      </c>
      <c r="H20" s="36">
        <v>0.68571987719639005</v>
      </c>
      <c r="I20" s="32">
        <v>9.4128000000000007</v>
      </c>
      <c r="J20" s="32">
        <v>12.82782608695652</v>
      </c>
      <c r="K20" s="15">
        <v>49</v>
      </c>
      <c r="L20" s="23">
        <v>16.220913914633432</v>
      </c>
      <c r="M20" s="38">
        <v>0.1074317588197031</v>
      </c>
      <c r="N20" s="33">
        <v>15.94794007490637</v>
      </c>
      <c r="O20" s="33">
        <v>16.391703056768559</v>
      </c>
      <c r="P20" s="16">
        <v>49</v>
      </c>
      <c r="Q20" s="25">
        <v>47.505931470441979</v>
      </c>
      <c r="R20" s="39">
        <v>20.664905467249078</v>
      </c>
      <c r="S20" s="34">
        <v>26.764736842105258</v>
      </c>
      <c r="T20" s="34">
        <v>90.166341463414625</v>
      </c>
      <c r="U20" s="17">
        <v>49</v>
      </c>
      <c r="V20" s="28">
        <v>51.516088278899609</v>
      </c>
      <c r="W20" s="40">
        <v>0.41035937199763267</v>
      </c>
      <c r="X20" s="35">
        <v>50.389887640449437</v>
      </c>
      <c r="Y20" s="35">
        <v>52.171365638766517</v>
      </c>
      <c r="Z20" s="18">
        <v>49</v>
      </c>
      <c r="AC20" s="42" t="s">
        <v>138</v>
      </c>
      <c r="AD20" s="18">
        <v>289</v>
      </c>
    </row>
    <row r="21" spans="1:30" s="19" customFormat="1" x14ac:dyDescent="0.25">
      <c r="A21" s="30" t="s">
        <v>20</v>
      </c>
      <c r="B21" s="21">
        <v>5.980989077541949</v>
      </c>
      <c r="C21" s="37">
        <v>5.7103585619955474E-2</v>
      </c>
      <c r="D21" s="31">
        <v>5.7542957746478871</v>
      </c>
      <c r="E21" s="31">
        <v>5.9967484662576691</v>
      </c>
      <c r="F21" s="14">
        <v>51</v>
      </c>
      <c r="G21" s="24">
        <v>12.971231085693901</v>
      </c>
      <c r="H21" s="36">
        <v>0.52887804156666118</v>
      </c>
      <c r="I21" s="32">
        <v>10.71932203389831</v>
      </c>
      <c r="J21" s="32">
        <v>14.031615120274921</v>
      </c>
      <c r="K21" s="15">
        <v>51</v>
      </c>
      <c r="L21" s="23">
        <v>18.233517503231759</v>
      </c>
      <c r="M21" s="38">
        <v>0.10515823081550939</v>
      </c>
      <c r="N21" s="33">
        <v>17.974799999999998</v>
      </c>
      <c r="O21" s="33">
        <v>18.398760330578508</v>
      </c>
      <c r="P21" s="16">
        <v>51</v>
      </c>
      <c r="Q21" s="25">
        <v>45.037179528316962</v>
      </c>
      <c r="R21" s="39">
        <v>19.61100177491118</v>
      </c>
      <c r="S21" s="34">
        <v>28.301156069364161</v>
      </c>
      <c r="T21" s="34">
        <v>98.462500000000006</v>
      </c>
      <c r="U21" s="17">
        <v>51</v>
      </c>
      <c r="V21" s="28">
        <v>51.455229836572769</v>
      </c>
      <c r="W21" s="40">
        <v>0.39594944087076012</v>
      </c>
      <c r="X21" s="35">
        <v>50.334707903780071</v>
      </c>
      <c r="Y21" s="35">
        <v>51.979725085910651</v>
      </c>
      <c r="Z21" s="18">
        <v>51</v>
      </c>
      <c r="AC21" s="42" t="s">
        <v>52</v>
      </c>
      <c r="AD21" s="18">
        <v>264</v>
      </c>
    </row>
    <row r="22" spans="1:30" s="19" customFormat="1" x14ac:dyDescent="0.25">
      <c r="A22" s="30" t="s">
        <v>21</v>
      </c>
      <c r="B22" s="21">
        <v>11.87310655657552</v>
      </c>
      <c r="C22" s="37">
        <v>8.7365005498779666E-4</v>
      </c>
      <c r="D22" s="31">
        <v>11.87178403755869</v>
      </c>
      <c r="E22" s="31">
        <v>11.873798882681561</v>
      </c>
      <c r="F22" s="14">
        <v>5</v>
      </c>
      <c r="G22" s="24">
        <v>9.2615197829530782</v>
      </c>
      <c r="H22" s="36">
        <v>0.58325712873622471</v>
      </c>
      <c r="I22" s="32">
        <v>8.7446009389671353</v>
      </c>
      <c r="J22" s="32">
        <v>10.103296703296699</v>
      </c>
      <c r="K22" s="15">
        <v>5</v>
      </c>
      <c r="L22" s="23">
        <v>10.48898507068049</v>
      </c>
      <c r="M22" s="38">
        <v>4.2662713010560821E-2</v>
      </c>
      <c r="N22" s="33">
        <v>10.413541666666671</v>
      </c>
      <c r="O22" s="33">
        <v>10.515962441314549</v>
      </c>
      <c r="P22" s="16">
        <v>5</v>
      </c>
      <c r="Q22" s="25">
        <v>53.758952373134377</v>
      </c>
      <c r="R22" s="39">
        <v>2.5323962191342928</v>
      </c>
      <c r="S22" s="34">
        <v>51.161971830985905</v>
      </c>
      <c r="T22" s="34">
        <v>57.421875</v>
      </c>
      <c r="U22" s="17">
        <v>5</v>
      </c>
      <c r="V22" s="28">
        <v>5.4363315364720917</v>
      </c>
      <c r="W22" s="40">
        <v>0.24525791267367819</v>
      </c>
      <c r="X22" s="35">
        <v>5.0046875000000002</v>
      </c>
      <c r="Y22" s="35">
        <v>5.5883333333333329</v>
      </c>
      <c r="Z22" s="18">
        <v>5</v>
      </c>
      <c r="AC22" s="42" t="s">
        <v>92</v>
      </c>
      <c r="AD22" s="18">
        <v>238</v>
      </c>
    </row>
    <row r="23" spans="1:30" s="19" customFormat="1" x14ac:dyDescent="0.25">
      <c r="A23" s="30" t="s">
        <v>22</v>
      </c>
      <c r="B23" s="21">
        <v>11.87362344849126</v>
      </c>
      <c r="C23" s="37">
        <v>1.551126830803388E-3</v>
      </c>
      <c r="D23" s="31">
        <v>11.871804878048781</v>
      </c>
      <c r="E23" s="31">
        <v>11.87673913043478</v>
      </c>
      <c r="F23" s="14">
        <v>10</v>
      </c>
      <c r="G23" s="24">
        <v>10.823880891636991</v>
      </c>
      <c r="H23" s="36">
        <v>0.52511920272457513</v>
      </c>
      <c r="I23" s="32">
        <v>9.8208000000000002</v>
      </c>
      <c r="J23" s="32">
        <v>11.32742616033755</v>
      </c>
      <c r="K23" s="15">
        <v>10</v>
      </c>
      <c r="L23" s="23">
        <v>12.34630761625592</v>
      </c>
      <c r="M23" s="38">
        <v>0.68407659417496891</v>
      </c>
      <c r="N23" s="33">
        <v>10.40277777777778</v>
      </c>
      <c r="O23" s="33">
        <v>12.6</v>
      </c>
      <c r="P23" s="16">
        <v>10</v>
      </c>
      <c r="Q23" s="25">
        <v>56.809662751669613</v>
      </c>
      <c r="R23" s="39">
        <v>25.795545596707068</v>
      </c>
      <c r="S23" s="34">
        <v>27.721666666666657</v>
      </c>
      <c r="T23" s="34">
        <v>91.189756097560974</v>
      </c>
      <c r="U23" s="17">
        <v>10</v>
      </c>
      <c r="V23" s="28">
        <v>5.3039456682546966</v>
      </c>
      <c r="W23" s="40">
        <v>0.44320222136540688</v>
      </c>
      <c r="X23" s="35">
        <v>4.3827004219409282</v>
      </c>
      <c r="Y23" s="35">
        <v>5.8082926829268304</v>
      </c>
      <c r="Z23" s="18">
        <v>10</v>
      </c>
      <c r="AC23" s="42" t="s">
        <v>30</v>
      </c>
      <c r="AD23" s="18">
        <v>178</v>
      </c>
    </row>
    <row r="24" spans="1:30" s="19" customFormat="1" x14ac:dyDescent="0.25">
      <c r="A24" s="30" t="s">
        <v>23</v>
      </c>
      <c r="B24" s="21">
        <v>11.87351343246625</v>
      </c>
      <c r="C24" s="37">
        <v>1.152674070131574E-3</v>
      </c>
      <c r="D24" s="31">
        <v>11.871343283582089</v>
      </c>
      <c r="E24" s="31">
        <v>11.87617777777778</v>
      </c>
      <c r="F24" s="14">
        <v>53</v>
      </c>
      <c r="G24" s="24">
        <v>10.706348570584931</v>
      </c>
      <c r="H24" s="36">
        <v>0.65670666636445196</v>
      </c>
      <c r="I24" s="32">
        <v>8.9833333333333325</v>
      </c>
      <c r="J24" s="32">
        <v>12.15306859205776</v>
      </c>
      <c r="K24" s="15">
        <v>53</v>
      </c>
      <c r="L24" s="23">
        <v>11.90106581877675</v>
      </c>
      <c r="M24" s="38">
        <v>0.98821237091380443</v>
      </c>
      <c r="N24" s="33">
        <v>10.4</v>
      </c>
      <c r="O24" s="33">
        <v>12.67899159663866</v>
      </c>
      <c r="P24" s="16">
        <v>53</v>
      </c>
      <c r="Q24" s="25">
        <v>47.613356379031018</v>
      </c>
      <c r="R24" s="39">
        <v>18.21863435409735</v>
      </c>
      <c r="S24" s="34">
        <v>28.889837398373981</v>
      </c>
      <c r="T24" s="34">
        <v>89.715294117647062</v>
      </c>
      <c r="U24" s="17">
        <v>53</v>
      </c>
      <c r="V24" s="28">
        <v>5.2480423968020382</v>
      </c>
      <c r="W24" s="40">
        <v>0.38573269566936574</v>
      </c>
      <c r="X24" s="35">
        <v>4.3680497925311199</v>
      </c>
      <c r="Y24" s="35">
        <v>5.9285714285714279</v>
      </c>
      <c r="Z24" s="18">
        <v>53</v>
      </c>
      <c r="AC24" s="42" t="s">
        <v>91</v>
      </c>
      <c r="AD24" s="18">
        <v>162</v>
      </c>
    </row>
    <row r="25" spans="1:30" s="19" customFormat="1" x14ac:dyDescent="0.25">
      <c r="A25" s="30" t="s">
        <v>24</v>
      </c>
      <c r="B25" s="21">
        <v>10.194148885247891</v>
      </c>
      <c r="C25" s="37">
        <v>8.8781247043611625E-4</v>
      </c>
      <c r="D25" s="31">
        <v>10.19246861924686</v>
      </c>
      <c r="E25" s="31">
        <v>10.196679841897231</v>
      </c>
      <c r="F25" s="14">
        <v>43</v>
      </c>
      <c r="G25" s="24">
        <v>11.33286079326799</v>
      </c>
      <c r="H25" s="36">
        <v>0.47945844350486927</v>
      </c>
      <c r="I25" s="32">
        <v>10.083261802575111</v>
      </c>
      <c r="J25" s="32">
        <v>12.12459016393443</v>
      </c>
      <c r="K25" s="15">
        <v>43</v>
      </c>
      <c r="L25" s="23">
        <v>14.652777254286619</v>
      </c>
      <c r="M25" s="38">
        <v>5.7175753208025683E-2</v>
      </c>
      <c r="N25" s="33">
        <v>14.49725274725275</v>
      </c>
      <c r="O25" s="33">
        <v>14.7568345323741</v>
      </c>
      <c r="P25" s="16">
        <v>43</v>
      </c>
      <c r="Q25" s="25">
        <v>60.318142299795817</v>
      </c>
      <c r="R25" s="39">
        <v>23.559686055800611</v>
      </c>
      <c r="S25" s="34">
        <v>28.3125</v>
      </c>
      <c r="T25" s="34">
        <v>95.008583690987123</v>
      </c>
      <c r="U25" s="17">
        <v>43</v>
      </c>
      <c r="V25" s="28">
        <v>16.77644677383762</v>
      </c>
      <c r="W25" s="40">
        <v>0.3839330472151205</v>
      </c>
      <c r="X25" s="35">
        <v>15.9</v>
      </c>
      <c r="Y25" s="35">
        <v>17.456031128404668</v>
      </c>
      <c r="Z25" s="18">
        <v>43</v>
      </c>
      <c r="AC25" s="42" t="s">
        <v>58</v>
      </c>
      <c r="AD25" s="18">
        <v>150</v>
      </c>
    </row>
    <row r="26" spans="1:30" s="19" customFormat="1" x14ac:dyDescent="0.25">
      <c r="A26" s="30" t="s">
        <v>25</v>
      </c>
      <c r="B26" s="21">
        <v>8.3945505914040766</v>
      </c>
      <c r="C26" s="37">
        <v>7.0661041728531198E-4</v>
      </c>
      <c r="D26" s="31">
        <v>8.392887029288703</v>
      </c>
      <c r="E26" s="43">
        <v>8.3961340206185575</v>
      </c>
      <c r="F26" s="14">
        <v>80</v>
      </c>
      <c r="G26" s="24">
        <v>11.50803615610166</v>
      </c>
      <c r="H26" s="36">
        <v>0.42330508008139101</v>
      </c>
      <c r="I26" s="32">
        <v>10.318085106382981</v>
      </c>
      <c r="J26" s="32">
        <v>12.33419913419913</v>
      </c>
      <c r="K26" s="15">
        <v>80</v>
      </c>
      <c r="L26" s="23">
        <v>16.64310542285428</v>
      </c>
      <c r="M26" s="38">
        <v>0.28974230687112013</v>
      </c>
      <c r="N26" s="33">
        <v>14.41678321678322</v>
      </c>
      <c r="O26" s="33">
        <v>16.8</v>
      </c>
      <c r="P26" s="16">
        <v>80</v>
      </c>
      <c r="Q26" s="25">
        <v>50.378103670259549</v>
      </c>
      <c r="R26" s="39">
        <v>23.142688594367179</v>
      </c>
      <c r="S26" s="34">
        <v>27.487878787878788</v>
      </c>
      <c r="T26" s="34">
        <v>92.181420765027326</v>
      </c>
      <c r="U26" s="17">
        <v>80</v>
      </c>
      <c r="V26" s="28">
        <v>28.312264913719268</v>
      </c>
      <c r="W26" s="40">
        <v>0.38140427828237139</v>
      </c>
      <c r="X26" s="35">
        <v>27.296202531645569</v>
      </c>
      <c r="Y26" s="35">
        <v>29.022957198443578</v>
      </c>
      <c r="Z26" s="18">
        <v>80</v>
      </c>
      <c r="AC26" s="42" t="s">
        <v>69</v>
      </c>
      <c r="AD26" s="18">
        <v>126</v>
      </c>
    </row>
    <row r="27" spans="1:30" s="19" customFormat="1" x14ac:dyDescent="0.25">
      <c r="A27" s="30" t="s">
        <v>26</v>
      </c>
      <c r="B27" s="21">
        <v>7.1947169796930091</v>
      </c>
      <c r="C27" s="37">
        <v>6.5216990692612347E-4</v>
      </c>
      <c r="D27" s="31">
        <v>7.192658227848101</v>
      </c>
      <c r="E27" s="31">
        <v>7.1961111111111107</v>
      </c>
      <c r="F27" s="14">
        <v>86</v>
      </c>
      <c r="G27" s="24">
        <v>11.389363165222489</v>
      </c>
      <c r="H27" s="36">
        <v>1.340511284352365</v>
      </c>
      <c r="I27" s="32">
        <v>0</v>
      </c>
      <c r="J27" s="32">
        <v>12.53014354066986</v>
      </c>
      <c r="K27" s="15">
        <v>86</v>
      </c>
      <c r="L27" s="23">
        <v>16.673368249094811</v>
      </c>
      <c r="M27" s="38">
        <v>0.1800302932703752</v>
      </c>
      <c r="N27" s="33">
        <v>15.33506493506493</v>
      </c>
      <c r="O27" s="33">
        <v>16.869565217391301</v>
      </c>
      <c r="P27" s="16">
        <v>86</v>
      </c>
      <c r="Q27" s="25">
        <v>51.207483388946649</v>
      </c>
      <c r="R27" s="39">
        <v>21.928446051777662</v>
      </c>
      <c r="S27" s="34">
        <v>18.278947368421051</v>
      </c>
      <c r="T27" s="34">
        <v>94.518987341772146</v>
      </c>
      <c r="U27" s="17">
        <v>86</v>
      </c>
      <c r="V27" s="28">
        <v>28.296326560387662</v>
      </c>
      <c r="W27" s="40">
        <v>0.3581938493081514</v>
      </c>
      <c r="X27" s="35">
        <v>27.43</v>
      </c>
      <c r="Y27" s="35">
        <v>29.061847389558231</v>
      </c>
      <c r="Z27" s="18">
        <v>86</v>
      </c>
      <c r="AC27" s="41" t="s">
        <v>59</v>
      </c>
      <c r="AD27" s="18">
        <v>123</v>
      </c>
    </row>
    <row r="28" spans="1:30" s="19" customFormat="1" x14ac:dyDescent="0.25">
      <c r="A28" s="29" t="s">
        <v>27</v>
      </c>
      <c r="B28" s="21">
        <v>7.194658870615914</v>
      </c>
      <c r="C28" s="37">
        <v>5.9367388028760092E-4</v>
      </c>
      <c r="D28" s="31">
        <v>7.1931441048034932</v>
      </c>
      <c r="E28" s="31">
        <v>7.1963478260869564</v>
      </c>
      <c r="F28" s="14">
        <v>101</v>
      </c>
      <c r="G28" s="24">
        <v>11.50637574839706</v>
      </c>
      <c r="H28" s="36">
        <v>0.57633764035663815</v>
      </c>
      <c r="I28" s="32">
        <v>9.0401746724890835</v>
      </c>
      <c r="J28" s="32">
        <v>12.45022026431718</v>
      </c>
      <c r="K28" s="15">
        <v>101</v>
      </c>
      <c r="L28" s="23">
        <v>16.705920143465828</v>
      </c>
      <c r="M28" s="38">
        <v>0.11064708970384121</v>
      </c>
      <c r="N28" s="33">
        <v>16.038197424892701</v>
      </c>
      <c r="O28" s="33">
        <v>16.885903083700441</v>
      </c>
      <c r="P28" s="16">
        <v>101</v>
      </c>
      <c r="Q28" s="25">
        <v>47.805896706538867</v>
      </c>
      <c r="R28" s="39">
        <v>21.785912634978331</v>
      </c>
      <c r="S28" s="34">
        <v>28.046017699115037</v>
      </c>
      <c r="T28" s="34">
        <v>95.590449438202242</v>
      </c>
      <c r="U28" s="17">
        <v>101</v>
      </c>
      <c r="V28" s="28">
        <v>28.35817081191637</v>
      </c>
      <c r="W28" s="40">
        <v>0.3733441290004772</v>
      </c>
      <c r="X28" s="35">
        <v>27.293392070484579</v>
      </c>
      <c r="Y28" s="35">
        <v>29.0448275862069</v>
      </c>
      <c r="Z28" s="18">
        <v>101</v>
      </c>
      <c r="AC28" s="41" t="s">
        <v>89</v>
      </c>
      <c r="AD28" s="18">
        <v>120</v>
      </c>
    </row>
    <row r="29" spans="1:30" s="19" customFormat="1" x14ac:dyDescent="0.25">
      <c r="A29" s="29" t="s">
        <v>28</v>
      </c>
      <c r="B29" s="21">
        <v>5.995268919411938</v>
      </c>
      <c r="C29" s="37">
        <v>7.0358076580540909E-4</v>
      </c>
      <c r="D29" s="31">
        <v>5.9939086294416244</v>
      </c>
      <c r="E29" s="31">
        <v>5.9973478260869566</v>
      </c>
      <c r="F29" s="14">
        <v>98</v>
      </c>
      <c r="G29" s="24">
        <v>11.625112941296141</v>
      </c>
      <c r="H29" s="36">
        <v>0.55294707608260574</v>
      </c>
      <c r="I29" s="32">
        <v>10.121739130434779</v>
      </c>
      <c r="J29" s="32">
        <v>13.495435684647299</v>
      </c>
      <c r="K29" s="15">
        <v>98</v>
      </c>
      <c r="L29" s="23">
        <v>14.204552792663799</v>
      </c>
      <c r="M29" s="38">
        <v>8.7955988983886291E-2</v>
      </c>
      <c r="N29" s="33">
        <v>13.997368421052631</v>
      </c>
      <c r="O29" s="33">
        <v>14.403614457831321</v>
      </c>
      <c r="P29" s="16">
        <v>98</v>
      </c>
      <c r="Q29" s="25">
        <v>50.522285825774787</v>
      </c>
      <c r="R29" s="39">
        <v>21.619233478270608</v>
      </c>
      <c r="S29" s="34">
        <v>28.186885245901642</v>
      </c>
      <c r="T29" s="34">
        <v>96.563855421686739</v>
      </c>
      <c r="U29" s="17">
        <v>98</v>
      </c>
      <c r="V29" s="28">
        <v>28.319852904324723</v>
      </c>
      <c r="W29" s="40">
        <v>0.3324544566660983</v>
      </c>
      <c r="X29" s="35">
        <v>27.464912280701746</v>
      </c>
      <c r="Y29" s="35">
        <v>28.88201754385965</v>
      </c>
      <c r="Z29" s="18">
        <v>98</v>
      </c>
      <c r="AC29" s="41" t="s">
        <v>132</v>
      </c>
      <c r="AD29" s="18">
        <v>117</v>
      </c>
    </row>
    <row r="30" spans="1:30" s="19" customFormat="1" x14ac:dyDescent="0.25">
      <c r="A30" s="29" t="s">
        <v>29</v>
      </c>
      <c r="B30" s="21">
        <v>5.9953158278147942</v>
      </c>
      <c r="C30" s="37">
        <v>6.5912292692908454E-4</v>
      </c>
      <c r="D30" s="31">
        <v>5.9941081081081089</v>
      </c>
      <c r="E30" s="31">
        <v>5.9974096385542168</v>
      </c>
      <c r="F30" s="14">
        <v>94</v>
      </c>
      <c r="G30" s="24">
        <v>11.660906725615089</v>
      </c>
      <c r="H30" s="36">
        <v>0.47481357822407844</v>
      </c>
      <c r="I30" s="32">
        <v>10.094736842105259</v>
      </c>
      <c r="J30" s="32">
        <v>12.412230215827339</v>
      </c>
      <c r="K30" s="15">
        <v>94</v>
      </c>
      <c r="L30" s="23">
        <v>16.192158995642711</v>
      </c>
      <c r="M30" s="38">
        <v>0.41804096990885692</v>
      </c>
      <c r="N30" s="33">
        <v>12.305020920502091</v>
      </c>
      <c r="O30" s="33">
        <v>16.417529880478092</v>
      </c>
      <c r="P30" s="16">
        <v>94</v>
      </c>
      <c r="Q30" s="25">
        <v>46.114346510083656</v>
      </c>
      <c r="R30" s="39">
        <v>19.19051698732704</v>
      </c>
      <c r="S30" s="34">
        <v>26.309523809523807</v>
      </c>
      <c r="T30" s="34">
        <v>93.505909090909086</v>
      </c>
      <c r="U30" s="17">
        <v>94</v>
      </c>
      <c r="V30" s="28">
        <v>51.555046771985907</v>
      </c>
      <c r="W30" s="40">
        <v>0.35755463134908971</v>
      </c>
      <c r="X30" s="35">
        <v>50.326778242677818</v>
      </c>
      <c r="Y30" s="35">
        <v>52.222707423580786</v>
      </c>
      <c r="Z30" s="18">
        <v>94</v>
      </c>
      <c r="AC30" s="41" t="s">
        <v>66</v>
      </c>
      <c r="AD30" s="18">
        <v>113</v>
      </c>
    </row>
    <row r="31" spans="1:30" s="19" customFormat="1" x14ac:dyDescent="0.25">
      <c r="A31" s="29" t="s">
        <v>30</v>
      </c>
      <c r="B31" s="21">
        <v>5.9762791839968097</v>
      </c>
      <c r="C31" s="37">
        <v>6.4952861379196106E-2</v>
      </c>
      <c r="D31" s="31">
        <v>5.7538797814207649</v>
      </c>
      <c r="E31" s="31">
        <v>5.9970742358078599</v>
      </c>
      <c r="F31" s="14">
        <v>178</v>
      </c>
      <c r="G31" s="24">
        <v>12.636605881386179</v>
      </c>
      <c r="H31" s="36">
        <v>0.5651734595162633</v>
      </c>
      <c r="I31" s="32">
        <v>10.372677595628421</v>
      </c>
      <c r="J31" s="32">
        <v>14.105841924398629</v>
      </c>
      <c r="K31" s="15">
        <v>178</v>
      </c>
      <c r="L31" s="23">
        <v>18.239944055984441</v>
      </c>
      <c r="M31" s="38">
        <v>9.513499213549495E-2</v>
      </c>
      <c r="N31" s="33">
        <v>17.970870870870872</v>
      </c>
      <c r="O31" s="33">
        <v>18.40378151260504</v>
      </c>
      <c r="P31" s="16">
        <v>178</v>
      </c>
      <c r="Q31" s="25">
        <v>54.414605424686286</v>
      </c>
      <c r="R31" s="39">
        <v>21.987984152650832</v>
      </c>
      <c r="S31" s="34">
        <v>28.672925764192136</v>
      </c>
      <c r="T31" s="34">
        <v>100.07641921397381</v>
      </c>
      <c r="U31" s="17">
        <v>178</v>
      </c>
      <c r="V31" s="28">
        <v>51.491674943946634</v>
      </c>
      <c r="W31" s="40">
        <v>0.36857479610095439</v>
      </c>
      <c r="X31" s="35">
        <v>50.269969969969971</v>
      </c>
      <c r="Y31" s="35">
        <v>52.172049689440996</v>
      </c>
      <c r="Z31" s="18">
        <v>178</v>
      </c>
      <c r="AC31" s="41" t="s">
        <v>16</v>
      </c>
      <c r="AD31" s="18">
        <v>103</v>
      </c>
    </row>
    <row r="32" spans="1:30" s="19" customFormat="1" x14ac:dyDescent="0.25">
      <c r="A32" s="29" t="s">
        <v>31</v>
      </c>
      <c r="B32" s="21">
        <v>11.874001244972231</v>
      </c>
      <c r="C32" s="37">
        <v>6.7460235148263884E-4</v>
      </c>
      <c r="D32" s="31">
        <v>11.87352422907489</v>
      </c>
      <c r="E32" s="31">
        <v>11.874478260869559</v>
      </c>
      <c r="F32" s="14">
        <v>2</v>
      </c>
      <c r="G32" s="24">
        <v>9.1715016280406054</v>
      </c>
      <c r="H32" s="36">
        <v>0.10547958309207139</v>
      </c>
      <c r="I32" s="32">
        <v>9.0969162995594708</v>
      </c>
      <c r="J32" s="32">
        <v>9.2460869565217401</v>
      </c>
      <c r="K32" s="15">
        <v>2</v>
      </c>
      <c r="L32" s="23">
        <v>12.55</v>
      </c>
      <c r="M32" s="38">
        <v>7.0710678118654752E-2</v>
      </c>
      <c r="N32" s="33">
        <v>12.5</v>
      </c>
      <c r="O32" s="33">
        <v>12.6</v>
      </c>
      <c r="P32" s="16">
        <v>2</v>
      </c>
      <c r="Q32" s="25">
        <v>40.556270829343035</v>
      </c>
      <c r="R32" s="39">
        <v>19.131589961622741</v>
      </c>
      <c r="S32" s="34">
        <v>27.028193832599118</v>
      </c>
      <c r="T32" s="34">
        <v>54.084347826086955</v>
      </c>
      <c r="U32" s="17">
        <v>2</v>
      </c>
      <c r="V32" s="28">
        <v>5.0973673625742189</v>
      </c>
      <c r="W32" s="40">
        <v>0.65849776091539969</v>
      </c>
      <c r="X32" s="35">
        <v>4.6317391304347826</v>
      </c>
      <c r="Y32" s="35">
        <v>5.5629955947136569</v>
      </c>
      <c r="Z32" s="18">
        <v>2</v>
      </c>
      <c r="AC32" s="41" t="s">
        <v>27</v>
      </c>
      <c r="AD32" s="18">
        <v>101</v>
      </c>
    </row>
    <row r="33" spans="1:30" s="19" customFormat="1" x14ac:dyDescent="0.25">
      <c r="A33" s="29" t="s">
        <v>32</v>
      </c>
      <c r="B33" s="21">
        <v>11.874714940764049</v>
      </c>
      <c r="C33" s="37">
        <v>1.1693162720584911E-3</v>
      </c>
      <c r="D33" s="31">
        <v>11.87309012875536</v>
      </c>
      <c r="E33" s="31">
        <v>11.87669603524229</v>
      </c>
      <c r="F33" s="14">
        <v>8</v>
      </c>
      <c r="G33" s="24">
        <v>9.121432751448264</v>
      </c>
      <c r="H33" s="36">
        <v>0.37505729343476452</v>
      </c>
      <c r="I33" s="32">
        <v>8.5595041322314049</v>
      </c>
      <c r="J33" s="32">
        <v>9.67381974248927</v>
      </c>
      <c r="K33" s="15">
        <v>8</v>
      </c>
      <c r="L33" s="23">
        <v>12.567372941279279</v>
      </c>
      <c r="M33" s="38">
        <v>7.5243697452786001E-2</v>
      </c>
      <c r="N33" s="33">
        <v>12.48576388888889</v>
      </c>
      <c r="O33" s="33">
        <v>12.66157205240175</v>
      </c>
      <c r="P33" s="16">
        <v>8</v>
      </c>
      <c r="Q33" s="25">
        <v>45.524269133403699</v>
      </c>
      <c r="R33" s="39">
        <v>17.515347654717999</v>
      </c>
      <c r="S33" s="34">
        <v>24.932986111111109</v>
      </c>
      <c r="T33" s="34">
        <v>79.946696035242297</v>
      </c>
      <c r="U33" s="17">
        <v>8</v>
      </c>
      <c r="V33" s="28">
        <v>5.1914860460169443</v>
      </c>
      <c r="W33" s="40">
        <v>0.46501492659136162</v>
      </c>
      <c r="X33" s="35">
        <v>4.5698275862068964</v>
      </c>
      <c r="Y33" s="35">
        <v>5.6283842794759824</v>
      </c>
      <c r="Z33" s="18">
        <v>8</v>
      </c>
      <c r="AC33" s="41" t="s">
        <v>87</v>
      </c>
      <c r="AD33" s="18">
        <v>101</v>
      </c>
    </row>
    <row r="34" spans="1:30" s="19" customFormat="1" x14ac:dyDescent="0.25">
      <c r="A34" s="29" t="s">
        <v>33</v>
      </c>
      <c r="B34" s="21">
        <v>10.19411851219507</v>
      </c>
      <c r="C34" s="37">
        <v>1.1409239249732691E-3</v>
      </c>
      <c r="D34" s="31">
        <v>10.192652173913039</v>
      </c>
      <c r="E34" s="31">
        <v>10.1963025210084</v>
      </c>
      <c r="F34" s="14">
        <v>10</v>
      </c>
      <c r="G34" s="24">
        <v>10.19959680616874</v>
      </c>
      <c r="H34" s="36">
        <v>0.35069410339351198</v>
      </c>
      <c r="I34" s="32">
        <v>9.6882352941176464</v>
      </c>
      <c r="J34" s="32">
        <v>10.565217391304349</v>
      </c>
      <c r="K34" s="15">
        <v>10</v>
      </c>
      <c r="L34" s="23">
        <v>14.622270501760209</v>
      </c>
      <c r="M34" s="38">
        <v>6.3797431687930201E-2</v>
      </c>
      <c r="N34" s="33">
        <v>14.5</v>
      </c>
      <c r="O34" s="33">
        <v>14.70126582278481</v>
      </c>
      <c r="P34" s="16">
        <v>10</v>
      </c>
      <c r="Q34" s="25">
        <v>58.371570410575103</v>
      </c>
      <c r="R34" s="39">
        <v>20.573653030434119</v>
      </c>
      <c r="S34" s="34">
        <v>29.815151515151513</v>
      </c>
      <c r="T34" s="34">
        <v>86.775652173913045</v>
      </c>
      <c r="U34" s="17">
        <v>10</v>
      </c>
      <c r="V34" s="28">
        <v>16.653278792843381</v>
      </c>
      <c r="W34" s="40">
        <v>0.44125981475867554</v>
      </c>
      <c r="X34" s="35">
        <v>15.986496350364959</v>
      </c>
      <c r="Y34" s="35">
        <v>17.200840336134451</v>
      </c>
      <c r="Z34" s="18">
        <v>10</v>
      </c>
      <c r="AC34" s="41" t="s">
        <v>28</v>
      </c>
      <c r="AD34" s="18">
        <v>98</v>
      </c>
    </row>
    <row r="35" spans="1:30" s="19" customFormat="1" x14ac:dyDescent="0.25">
      <c r="A35" s="29" t="s">
        <v>34</v>
      </c>
      <c r="B35" s="21">
        <v>8.3949716617216481</v>
      </c>
      <c r="C35" s="37">
        <v>5.0029335672761204E-4</v>
      </c>
      <c r="D35" s="31">
        <v>8.394285714285715</v>
      </c>
      <c r="E35" s="31">
        <v>8.3955603448275866</v>
      </c>
      <c r="F35" s="14">
        <v>7</v>
      </c>
      <c r="G35" s="24">
        <v>10.3694548466864</v>
      </c>
      <c r="H35" s="36">
        <v>0.48404547081550381</v>
      </c>
      <c r="I35" s="32">
        <v>9.5924369747899156</v>
      </c>
      <c r="J35" s="32">
        <v>10.92068965517241</v>
      </c>
      <c r="K35" s="15">
        <v>7</v>
      </c>
      <c r="L35" s="23">
        <v>16.662038651088078</v>
      </c>
      <c r="M35" s="38">
        <v>0.1436178785787742</v>
      </c>
      <c r="N35" s="33">
        <v>16.411344537815133</v>
      </c>
      <c r="O35" s="33">
        <v>16.7978354978355</v>
      </c>
      <c r="P35" s="16">
        <v>7</v>
      </c>
      <c r="Q35" s="25">
        <v>48.423520908133028</v>
      </c>
      <c r="R35" s="39">
        <v>19.96121127593414</v>
      </c>
      <c r="S35" s="34">
        <v>28.573478260869557</v>
      </c>
      <c r="T35" s="34">
        <v>80.872072072072072</v>
      </c>
      <c r="U35" s="17">
        <v>7</v>
      </c>
      <c r="V35" s="28">
        <v>28.38025718262433</v>
      </c>
      <c r="W35" s="40">
        <v>0.6033764967396873</v>
      </c>
      <c r="X35" s="35">
        <v>27.297413793103448</v>
      </c>
      <c r="Y35" s="35">
        <v>29.058403361344538</v>
      </c>
      <c r="Z35" s="18">
        <v>7</v>
      </c>
      <c r="AC35" s="41" t="s">
        <v>13</v>
      </c>
      <c r="AD35" s="18">
        <v>96</v>
      </c>
    </row>
    <row r="36" spans="1:30" s="19" customFormat="1" x14ac:dyDescent="0.25">
      <c r="A36" s="29" t="s">
        <v>35</v>
      </c>
      <c r="B36" s="21">
        <v>7.1946069333921105</v>
      </c>
      <c r="C36" s="37">
        <v>4.6761017269551851E-4</v>
      </c>
      <c r="D36" s="31">
        <v>7.1939565217391301</v>
      </c>
      <c r="E36" s="31">
        <v>7.1954054054054053</v>
      </c>
      <c r="F36" s="14">
        <v>16</v>
      </c>
      <c r="G36" s="24">
        <v>10.72123922631949</v>
      </c>
      <c r="H36" s="36">
        <v>0.2955204406127494</v>
      </c>
      <c r="I36" s="32">
        <v>9.8820083682008377</v>
      </c>
      <c r="J36" s="32">
        <v>11.176623376623379</v>
      </c>
      <c r="K36" s="15">
        <v>16</v>
      </c>
      <c r="L36" s="23">
        <v>16.682753010386929</v>
      </c>
      <c r="M36" s="38">
        <v>6.825218400007442E-2</v>
      </c>
      <c r="N36" s="33">
        <v>16.57347826086956</v>
      </c>
      <c r="O36" s="33">
        <v>16.789956331877729</v>
      </c>
      <c r="P36" s="16">
        <v>16</v>
      </c>
      <c r="Q36" s="25">
        <v>40.182358252699075</v>
      </c>
      <c r="R36" s="39">
        <v>16.122172870600611</v>
      </c>
      <c r="S36" s="34">
        <v>29.912121212121214</v>
      </c>
      <c r="T36" s="34">
        <v>80.26531531531532</v>
      </c>
      <c r="U36" s="17">
        <v>16</v>
      </c>
      <c r="V36" s="28">
        <v>28.24824646196338</v>
      </c>
      <c r="W36" s="40">
        <v>0.43271168950210626</v>
      </c>
      <c r="X36" s="35">
        <v>27.280869565217394</v>
      </c>
      <c r="Y36" s="35">
        <v>28.786026200873362</v>
      </c>
      <c r="Z36" s="18">
        <v>16</v>
      </c>
      <c r="AC36" s="41" t="s">
        <v>29</v>
      </c>
      <c r="AD36" s="18">
        <v>94</v>
      </c>
    </row>
    <row r="37" spans="1:30" x14ac:dyDescent="0.25">
      <c r="A37" s="29" t="s">
        <v>36</v>
      </c>
      <c r="B37" s="21">
        <v>7.1949158301669218</v>
      </c>
      <c r="C37" s="37">
        <v>8.876345511785519E-4</v>
      </c>
      <c r="D37" s="31">
        <v>7.1939826839826848</v>
      </c>
      <c r="E37" s="31">
        <v>7.1961135371179035</v>
      </c>
      <c r="F37" s="14">
        <v>4</v>
      </c>
      <c r="G37" s="24">
        <v>10.77248435698217</v>
      </c>
      <c r="H37" s="36">
        <v>0.1250624398155506</v>
      </c>
      <c r="I37" s="32">
        <v>10.58777292576419</v>
      </c>
      <c r="J37" s="32">
        <v>10.858008658008661</v>
      </c>
      <c r="K37" s="15">
        <v>4</v>
      </c>
      <c r="L37" s="23">
        <v>16.705248208850829</v>
      </c>
      <c r="M37" s="38">
        <v>7.4998927736284082E-2</v>
      </c>
      <c r="N37" s="33">
        <v>16.621212121212118</v>
      </c>
      <c r="O37" s="33">
        <v>16.796536796536799</v>
      </c>
      <c r="P37" s="16">
        <v>4</v>
      </c>
      <c r="Q37" s="25">
        <v>30.558984101778861</v>
      </c>
      <c r="R37" s="39">
        <v>2.5305112059806847</v>
      </c>
      <c r="S37" s="34">
        <v>26.950655021834059</v>
      </c>
      <c r="T37" s="34">
        <v>32.66536796536797</v>
      </c>
      <c r="U37" s="17">
        <v>4</v>
      </c>
      <c r="V37" s="28">
        <v>28.275155484980807</v>
      </c>
      <c r="W37" s="40">
        <v>0.41084562476550995</v>
      </c>
      <c r="X37" s="35">
        <v>27.903030303030299</v>
      </c>
      <c r="Y37" s="35">
        <v>28.833333333333332</v>
      </c>
      <c r="Z37" s="18">
        <v>4</v>
      </c>
      <c r="AC37" s="41" t="s">
        <v>17</v>
      </c>
      <c r="AD37" s="18">
        <v>86</v>
      </c>
    </row>
    <row r="38" spans="1:30" s="19" customFormat="1" x14ac:dyDescent="0.25">
      <c r="A38" s="29" t="s">
        <v>37</v>
      </c>
      <c r="B38" s="21">
        <v>5.9949700650943178</v>
      </c>
      <c r="C38" s="37">
        <v>6.3175518443150122E-4</v>
      </c>
      <c r="D38" s="31">
        <v>5.9938251366120223</v>
      </c>
      <c r="E38" s="31">
        <v>5.9963559322033895</v>
      </c>
      <c r="F38" s="14">
        <v>16</v>
      </c>
      <c r="G38" s="24">
        <v>10.7415965476805</v>
      </c>
      <c r="H38" s="36">
        <v>0.41975411542263769</v>
      </c>
      <c r="I38" s="32">
        <v>9.4632034632034632</v>
      </c>
      <c r="J38" s="32">
        <v>11.33733905579399</v>
      </c>
      <c r="K38" s="15">
        <v>16</v>
      </c>
      <c r="L38" s="23">
        <v>14.13601976247654</v>
      </c>
      <c r="M38" s="38">
        <v>9.1601229202143281E-2</v>
      </c>
      <c r="N38" s="33">
        <v>14.00252100840336</v>
      </c>
      <c r="O38" s="33">
        <v>14.307359307359309</v>
      </c>
      <c r="P38" s="16">
        <v>16</v>
      </c>
      <c r="Q38" s="25">
        <v>42.974438829279975</v>
      </c>
      <c r="R38" s="39">
        <v>19.247834732248769</v>
      </c>
      <c r="S38" s="34">
        <v>27.193449781659389</v>
      </c>
      <c r="T38" s="34">
        <v>83.072131147540986</v>
      </c>
      <c r="U38" s="17">
        <v>16</v>
      </c>
      <c r="V38" s="28">
        <v>28.196302269368619</v>
      </c>
      <c r="W38" s="40">
        <v>0.46154774591682923</v>
      </c>
      <c r="X38" s="35">
        <v>27.441924398625428</v>
      </c>
      <c r="Y38" s="35">
        <v>29.072727272727271</v>
      </c>
      <c r="Z38" s="18">
        <v>16</v>
      </c>
      <c r="AC38" s="41" t="s">
        <v>26</v>
      </c>
      <c r="AD38" s="18">
        <v>86</v>
      </c>
    </row>
    <row r="39" spans="1:30" s="19" customFormat="1" x14ac:dyDescent="0.25">
      <c r="A39" s="29" t="s">
        <v>38</v>
      </c>
      <c r="B39" s="21">
        <v>5.9948543344263303</v>
      </c>
      <c r="C39" s="37">
        <v>5.0077374784327996E-4</v>
      </c>
      <c r="D39" s="31">
        <v>5.9940983606557383</v>
      </c>
      <c r="E39" s="31">
        <v>5.9955870445344139</v>
      </c>
      <c r="F39" s="14">
        <v>9</v>
      </c>
      <c r="G39" s="24">
        <v>10.511389923804931</v>
      </c>
      <c r="H39" s="36">
        <v>0.55214070333125642</v>
      </c>
      <c r="I39" s="32">
        <v>9.7576470588235296</v>
      </c>
      <c r="J39" s="32">
        <v>11.031168831168831</v>
      </c>
      <c r="K39" s="15">
        <v>9</v>
      </c>
      <c r="L39" s="23">
        <v>16.194665525147848</v>
      </c>
      <c r="M39" s="38">
        <v>0.14773567135638849</v>
      </c>
      <c r="N39" s="33">
        <v>15.987984496124032</v>
      </c>
      <c r="O39" s="33">
        <v>16.399999999999999</v>
      </c>
      <c r="P39" s="16">
        <v>9</v>
      </c>
      <c r="Q39" s="25">
        <v>34.044820589645965</v>
      </c>
      <c r="R39" s="39">
        <v>8.1710477934939512</v>
      </c>
      <c r="S39" s="34">
        <v>26.38469945355191</v>
      </c>
      <c r="T39" s="34">
        <v>49.20039215686274</v>
      </c>
      <c r="U39" s="17">
        <v>9</v>
      </c>
      <c r="V39" s="28">
        <v>51.507838256262644</v>
      </c>
      <c r="W39" s="40">
        <v>0.60792595437088703</v>
      </c>
      <c r="X39" s="35">
        <v>50.57209302325581</v>
      </c>
      <c r="Y39" s="35">
        <v>52.269945355191261</v>
      </c>
      <c r="Z39" s="18">
        <v>9</v>
      </c>
      <c r="AC39" s="41" t="s">
        <v>62</v>
      </c>
      <c r="AD39" s="18">
        <v>86</v>
      </c>
    </row>
    <row r="40" spans="1:30" s="19" customFormat="1" x14ac:dyDescent="0.25">
      <c r="A40" s="29" t="s">
        <v>39</v>
      </c>
      <c r="B40" s="21">
        <v>5.9954291917934066</v>
      </c>
      <c r="C40" s="37">
        <v>9.7681388167257196E-4</v>
      </c>
      <c r="D40" s="31">
        <v>5.9941810344827582</v>
      </c>
      <c r="E40" s="31">
        <v>5.9973706896551722</v>
      </c>
      <c r="F40" s="14">
        <v>8</v>
      </c>
      <c r="G40" s="24">
        <v>11.76575223488879</v>
      </c>
      <c r="H40" s="36">
        <v>0.39623451608315541</v>
      </c>
      <c r="I40" s="32">
        <v>10.82723004694836</v>
      </c>
      <c r="J40" s="32">
        <v>12.057758620689659</v>
      </c>
      <c r="K40" s="15">
        <v>8</v>
      </c>
      <c r="L40" s="23">
        <v>18.240818558923049</v>
      </c>
      <c r="M40" s="38">
        <v>0.12716154431926111</v>
      </c>
      <c r="N40" s="33">
        <v>18.075431034482758</v>
      </c>
      <c r="O40" s="33">
        <v>18.39177489177489</v>
      </c>
      <c r="P40" s="16">
        <v>8</v>
      </c>
      <c r="Q40" s="25">
        <v>45.129726935402459</v>
      </c>
      <c r="R40" s="39">
        <v>20.257856153972902</v>
      </c>
      <c r="S40" s="34">
        <v>28.888311688311688</v>
      </c>
      <c r="T40" s="34">
        <v>82.391703056768563</v>
      </c>
      <c r="U40" s="17">
        <v>8</v>
      </c>
      <c r="V40" s="28">
        <v>51.594954033489536</v>
      </c>
      <c r="W40" s="40">
        <v>0.37594898465176729</v>
      </c>
      <c r="X40" s="35">
        <v>51.102047781569965</v>
      </c>
      <c r="Y40" s="35">
        <v>52.103463203463207</v>
      </c>
      <c r="Z40" s="18">
        <v>8</v>
      </c>
      <c r="AC40" s="41" t="s">
        <v>15</v>
      </c>
      <c r="AD40" s="18">
        <v>85</v>
      </c>
    </row>
    <row r="41" spans="1:30" x14ac:dyDescent="0.25">
      <c r="A41" s="29" t="s">
        <v>40</v>
      </c>
      <c r="B41" s="21">
        <v>5.9954949686041372</v>
      </c>
      <c r="C41" s="37">
        <v>8.5264977633956688E-4</v>
      </c>
      <c r="D41" s="31">
        <v>5.9945021645021646</v>
      </c>
      <c r="E41" s="31">
        <v>5.9972522522522524</v>
      </c>
      <c r="F41" s="14">
        <v>15</v>
      </c>
      <c r="G41" s="24">
        <v>13.853219732407661</v>
      </c>
      <c r="H41" s="36">
        <v>0.4335975026213762</v>
      </c>
      <c r="I41" s="32">
        <v>13.053679653679648</v>
      </c>
      <c r="J41" s="32">
        <v>14.40588235294118</v>
      </c>
      <c r="K41" s="15">
        <v>15</v>
      </c>
      <c r="L41" s="23">
        <v>31.687040666148278</v>
      </c>
      <c r="M41" s="38">
        <v>0.24094849897322371</v>
      </c>
      <c r="N41" s="33">
        <v>30.899579831932773</v>
      </c>
      <c r="O41" s="33">
        <v>31.874439461883412</v>
      </c>
      <c r="P41" s="16">
        <v>15</v>
      </c>
      <c r="Q41" s="25">
        <v>53.212096437477854</v>
      </c>
      <c r="R41" s="39">
        <v>11.71664579019542</v>
      </c>
      <c r="S41" s="34">
        <v>31.25210084033613</v>
      </c>
      <c r="T41" s="34">
        <v>67.183064516129036</v>
      </c>
      <c r="U41" s="17">
        <v>15</v>
      </c>
      <c r="V41" s="28">
        <v>51.377990669141887</v>
      </c>
      <c r="W41" s="40">
        <v>0.29558594455225407</v>
      </c>
      <c r="X41" s="35">
        <v>50.90168067226891</v>
      </c>
      <c r="Y41" s="35">
        <v>51.813615023474178</v>
      </c>
      <c r="Z41" s="18">
        <v>15</v>
      </c>
      <c r="AC41" s="41" t="s">
        <v>25</v>
      </c>
      <c r="AD41" s="18">
        <v>80</v>
      </c>
    </row>
    <row r="42" spans="1:30" s="19" customFormat="1" x14ac:dyDescent="0.25">
      <c r="A42" s="29" t="s">
        <v>41</v>
      </c>
      <c r="B42" s="21">
        <v>5.9955155779808278</v>
      </c>
      <c r="C42" s="37">
        <v>6.495111007869778E-4</v>
      </c>
      <c r="D42" s="31">
        <v>5.9944933920704839</v>
      </c>
      <c r="E42" s="31">
        <v>5.9964935064935059</v>
      </c>
      <c r="F42" s="14">
        <v>15</v>
      </c>
      <c r="G42" s="24">
        <v>14.105136932442552</v>
      </c>
      <c r="H42" s="36">
        <v>0.37970071216475182</v>
      </c>
      <c r="I42" s="32">
        <v>13.5</v>
      </c>
      <c r="J42" s="32">
        <v>14.698630136986301</v>
      </c>
      <c r="K42" s="15">
        <v>15</v>
      </c>
      <c r="L42" s="23">
        <v>31.811973737215272</v>
      </c>
      <c r="M42" s="38">
        <v>0.1087902501007596</v>
      </c>
      <c r="N42" s="33">
        <v>31.488646288209612</v>
      </c>
      <c r="O42" s="33">
        <v>31.958075601374571</v>
      </c>
      <c r="P42" s="16">
        <v>15</v>
      </c>
      <c r="Q42" s="25">
        <v>46.371142386216583</v>
      </c>
      <c r="R42" s="39">
        <v>20.677637612581421</v>
      </c>
      <c r="S42" s="34">
        <v>27.259565217391298</v>
      </c>
      <c r="T42" s="34">
        <v>86.639024390243904</v>
      </c>
      <c r="U42" s="17">
        <v>15</v>
      </c>
      <c r="V42" s="28">
        <v>51.540517213925554</v>
      </c>
      <c r="W42" s="40">
        <v>0.20870165142933633</v>
      </c>
      <c r="X42" s="35">
        <v>51.161855670103094</v>
      </c>
      <c r="Y42" s="35">
        <v>51.975257731958763</v>
      </c>
      <c r="Z42" s="18">
        <v>15</v>
      </c>
      <c r="AC42" s="41" t="s">
        <v>90</v>
      </c>
      <c r="AD42" s="18">
        <v>78</v>
      </c>
    </row>
    <row r="43" spans="1:30" s="19" customFormat="1" x14ac:dyDescent="0.25">
      <c r="A43" s="29" t="s">
        <v>42</v>
      </c>
      <c r="B43" s="21">
        <v>5.9951638030223897</v>
      </c>
      <c r="C43" s="37">
        <v>5.3587120363630459E-4</v>
      </c>
      <c r="D43" s="31">
        <v>5.9946096654275092</v>
      </c>
      <c r="E43" s="31">
        <v>5.9960526315789471</v>
      </c>
      <c r="F43" s="14">
        <v>5</v>
      </c>
      <c r="G43" s="24">
        <v>14.133478244013901</v>
      </c>
      <c r="H43" s="36">
        <v>0.77082057694122386</v>
      </c>
      <c r="I43" s="32">
        <v>13.05</v>
      </c>
      <c r="J43" s="32">
        <v>15.208921933085501</v>
      </c>
      <c r="K43" s="15">
        <v>5</v>
      </c>
      <c r="L43" s="23">
        <v>31.876218169333061</v>
      </c>
      <c r="M43" s="38">
        <v>5.4754942130561923E-2</v>
      </c>
      <c r="N43" s="33">
        <v>31.798684210526318</v>
      </c>
      <c r="O43" s="33">
        <v>31.93855421686747</v>
      </c>
      <c r="P43" s="16">
        <v>5</v>
      </c>
      <c r="Q43" s="25">
        <v>77.725338559743065</v>
      </c>
      <c r="R43" s="39">
        <v>14.40660726581271</v>
      </c>
      <c r="S43" s="34">
        <v>53.042105263157893</v>
      </c>
      <c r="T43" s="34">
        <v>88.126775956284149</v>
      </c>
      <c r="U43" s="17">
        <v>5</v>
      </c>
      <c r="V43" s="28">
        <v>51.587401828970769</v>
      </c>
      <c r="W43" s="40">
        <v>0.2713295380288468</v>
      </c>
      <c r="X43" s="35">
        <v>51.396174863387976</v>
      </c>
      <c r="Y43" s="35">
        <v>52.056224899598398</v>
      </c>
      <c r="Z43" s="18">
        <v>5</v>
      </c>
      <c r="AC43" s="41" t="s">
        <v>67</v>
      </c>
      <c r="AD43" s="18">
        <v>76</v>
      </c>
    </row>
    <row r="44" spans="1:30" s="19" customFormat="1" x14ac:dyDescent="0.25">
      <c r="A44" s="29" t="s">
        <v>43</v>
      </c>
      <c r="B44" s="21">
        <v>4.7952568249364109</v>
      </c>
      <c r="C44" s="37">
        <v>4.058274401962475E-4</v>
      </c>
      <c r="D44" s="31">
        <v>4.7943231441048031</v>
      </c>
      <c r="E44" s="31">
        <v>4.7958744394618824</v>
      </c>
      <c r="F44" s="14">
        <v>14</v>
      </c>
      <c r="G44" s="24">
        <v>14.18130620501841</v>
      </c>
      <c r="H44" s="36">
        <v>0.50034864268521628</v>
      </c>
      <c r="I44" s="32">
        <v>13.282096069868999</v>
      </c>
      <c r="J44" s="32">
        <v>15.245833333333328</v>
      </c>
      <c r="K44" s="15">
        <v>14</v>
      </c>
      <c r="L44" s="23">
        <v>31.812851758952881</v>
      </c>
      <c r="M44" s="38">
        <v>0.11859799279838909</v>
      </c>
      <c r="N44" s="33">
        <v>31.607751937984489</v>
      </c>
      <c r="O44" s="33">
        <v>31.979452054794518</v>
      </c>
      <c r="P44" s="16">
        <v>14</v>
      </c>
      <c r="Q44" s="25">
        <v>54.683074884809216</v>
      </c>
      <c r="R44" s="39">
        <v>27.267080073428151</v>
      </c>
      <c r="S44" s="34">
        <v>28.737610619469017</v>
      </c>
      <c r="T44" s="34">
        <v>94.108750000000001</v>
      </c>
      <c r="U44" s="17">
        <v>14</v>
      </c>
      <c r="V44" s="28">
        <v>51.349667583208259</v>
      </c>
      <c r="W44" s="40">
        <v>0.27457725101355612</v>
      </c>
      <c r="X44" s="35">
        <v>50.820155038759694</v>
      </c>
      <c r="Y44" s="35">
        <v>51.752838427947594</v>
      </c>
      <c r="Z44" s="18">
        <v>14</v>
      </c>
      <c r="AC44" s="41" t="s">
        <v>64</v>
      </c>
      <c r="AD44" s="18">
        <v>74</v>
      </c>
    </row>
    <row r="45" spans="1:30" s="19" customFormat="1" x14ac:dyDescent="0.25">
      <c r="A45" s="29" t="s">
        <v>44</v>
      </c>
      <c r="B45" s="21">
        <v>4.7948755075461582</v>
      </c>
      <c r="C45" s="37">
        <v>3.562813369487191E-4</v>
      </c>
      <c r="D45" s="31">
        <v>4.7944736842105273</v>
      </c>
      <c r="E45" s="31">
        <v>4.7951528384279483</v>
      </c>
      <c r="F45" s="14">
        <v>3</v>
      </c>
      <c r="G45" s="24">
        <v>13.982234214749729</v>
      </c>
      <c r="H45" s="36">
        <v>0.37630903725623732</v>
      </c>
      <c r="I45" s="32">
        <v>13.592982456140351</v>
      </c>
      <c r="J45" s="32">
        <v>14.344104803493451</v>
      </c>
      <c r="K45" s="15">
        <v>3</v>
      </c>
      <c r="L45" s="23">
        <v>31.78818157776875</v>
      </c>
      <c r="M45" s="38">
        <v>0.1173398337576101</v>
      </c>
      <c r="N45" s="33">
        <v>31.65526315789473</v>
      </c>
      <c r="O45" s="33">
        <v>31.87740384615385</v>
      </c>
      <c r="P45" s="16">
        <v>3</v>
      </c>
      <c r="Q45" s="25">
        <v>72.521819758008277</v>
      </c>
      <c r="R45" s="39">
        <v>19.14509483100618</v>
      </c>
      <c r="S45" s="34">
        <v>53.252192982456144</v>
      </c>
      <c r="T45" s="34">
        <v>91.539903846153848</v>
      </c>
      <c r="U45" s="17">
        <v>3</v>
      </c>
      <c r="V45" s="28">
        <v>51.392636062640086</v>
      </c>
      <c r="W45" s="40">
        <v>0.3942216064642623</v>
      </c>
      <c r="X45" s="35">
        <v>50.968859649122813</v>
      </c>
      <c r="Y45" s="35">
        <v>51.748471615720518</v>
      </c>
      <c r="Z45" s="18">
        <v>3</v>
      </c>
      <c r="AC45" s="41" t="s">
        <v>48</v>
      </c>
      <c r="AD45" s="18">
        <v>72</v>
      </c>
    </row>
    <row r="46" spans="1:30" x14ac:dyDescent="0.25">
      <c r="A46" s="29" t="s">
        <v>45</v>
      </c>
      <c r="B46" s="21">
        <v>10.19527430673924</v>
      </c>
      <c r="C46" s="37">
        <v>8.094225781503959E-4</v>
      </c>
      <c r="D46" s="31">
        <v>10.194210526315789</v>
      </c>
      <c r="E46" s="31">
        <v>10.19610878661088</v>
      </c>
      <c r="F46" s="14">
        <v>7</v>
      </c>
      <c r="G46" s="24">
        <v>10.208537382670871</v>
      </c>
      <c r="H46" s="36">
        <v>0.35986347792677564</v>
      </c>
      <c r="I46" s="32">
        <v>9.4642424242424248</v>
      </c>
      <c r="J46" s="32">
        <v>10.556828193832599</v>
      </c>
      <c r="K46" s="15">
        <v>7</v>
      </c>
      <c r="L46" s="23">
        <v>14.696039855643381</v>
      </c>
      <c r="M46" s="38">
        <v>5.9906357907785722E-3</v>
      </c>
      <c r="N46" s="33">
        <v>14.68722466960352</v>
      </c>
      <c r="O46" s="33">
        <v>14.702510460251052</v>
      </c>
      <c r="P46" s="16">
        <v>7</v>
      </c>
      <c r="Q46" s="25">
        <v>57.674313726583875</v>
      </c>
      <c r="R46" s="39">
        <v>17.67425921422965</v>
      </c>
      <c r="S46" s="34">
        <v>26.373939393939388</v>
      </c>
      <c r="T46" s="34">
        <v>80.600836820083686</v>
      </c>
      <c r="U46" s="17">
        <v>7</v>
      </c>
      <c r="V46" s="28">
        <v>16.760647597409267</v>
      </c>
      <c r="W46" s="40">
        <v>0.1930020108499437</v>
      </c>
      <c r="X46" s="35">
        <v>16.404385964912279</v>
      </c>
      <c r="Y46" s="35">
        <v>17.035151515151508</v>
      </c>
      <c r="Z46" s="18">
        <v>7</v>
      </c>
      <c r="AC46" s="41" t="s">
        <v>63</v>
      </c>
      <c r="AD46" s="18">
        <v>70</v>
      </c>
    </row>
    <row r="47" spans="1:30" x14ac:dyDescent="0.25">
      <c r="A47" s="29" t="s">
        <v>46</v>
      </c>
      <c r="B47" s="21">
        <v>7.1946994493404581</v>
      </c>
      <c r="C47" s="37">
        <v>6.9669578605563529E-4</v>
      </c>
      <c r="D47" s="31">
        <v>7.1937172774869111</v>
      </c>
      <c r="E47" s="31">
        <v>7.195836909871244</v>
      </c>
      <c r="F47" s="14">
        <v>7</v>
      </c>
      <c r="G47" s="24">
        <v>11.34421509137356</v>
      </c>
      <c r="H47" s="36">
        <v>0.7151550301798093</v>
      </c>
      <c r="I47" s="32">
        <v>10.2972972972973</v>
      </c>
      <c r="J47" s="32">
        <v>12.357894736842109</v>
      </c>
      <c r="K47" s="15">
        <v>7</v>
      </c>
      <c r="L47" s="23">
        <v>20.199937908509639</v>
      </c>
      <c r="M47" s="38">
        <v>0.11857329390069919</v>
      </c>
      <c r="N47" s="33">
        <v>20.0397489539749</v>
      </c>
      <c r="O47" s="33">
        <v>20.409051724137932</v>
      </c>
      <c r="P47" s="16">
        <v>7</v>
      </c>
      <c r="Q47" s="25">
        <v>48.077289024179109</v>
      </c>
      <c r="R47" s="39">
        <v>15.228717274081731</v>
      </c>
      <c r="S47" s="34">
        <v>31.398744769874469</v>
      </c>
      <c r="T47" s="34">
        <v>77.132894736842104</v>
      </c>
      <c r="U47" s="17">
        <v>7</v>
      </c>
      <c r="V47" s="28">
        <v>28.285095271942669</v>
      </c>
      <c r="W47" s="40">
        <v>0.38743744665594709</v>
      </c>
      <c r="X47" s="35">
        <v>27.656066945606689</v>
      </c>
      <c r="Y47" s="35">
        <v>28.709051724137929</v>
      </c>
      <c r="Z47" s="18">
        <v>7</v>
      </c>
      <c r="AC47" s="41" t="s">
        <v>14</v>
      </c>
      <c r="AD47" s="18">
        <v>66</v>
      </c>
    </row>
    <row r="48" spans="1:30" s="19" customFormat="1" x14ac:dyDescent="0.25">
      <c r="A48" s="29" t="s">
        <v>47</v>
      </c>
      <c r="B48" s="21">
        <v>6.5948238411717579</v>
      </c>
      <c r="C48" s="37">
        <v>4.6065887130098597E-4</v>
      </c>
      <c r="D48" s="31">
        <v>6.5937102473498239</v>
      </c>
      <c r="E48" s="31">
        <v>6.5958407079646015</v>
      </c>
      <c r="F48" s="14">
        <v>35</v>
      </c>
      <c r="G48" s="24">
        <v>11.7417790030813</v>
      </c>
      <c r="H48" s="36">
        <v>0.48519315466655966</v>
      </c>
      <c r="I48" s="32">
        <v>10.83318777292576</v>
      </c>
      <c r="J48" s="32">
        <v>12.78024691358025</v>
      </c>
      <c r="K48" s="15">
        <v>35</v>
      </c>
      <c r="L48" s="23">
        <v>20.229481022501929</v>
      </c>
      <c r="M48" s="38">
        <v>0.1119267838172997</v>
      </c>
      <c r="N48" s="33">
        <v>20.00942408376963</v>
      </c>
      <c r="O48" s="33">
        <v>20.491228070175442</v>
      </c>
      <c r="P48" s="16">
        <v>35</v>
      </c>
      <c r="Q48" s="25">
        <v>49.12557897410192</v>
      </c>
      <c r="R48" s="39">
        <v>23.14937285598004</v>
      </c>
      <c r="S48" s="34">
        <v>26.997916666666669</v>
      </c>
      <c r="T48" s="34">
        <v>91.589711934156384</v>
      </c>
      <c r="U48" s="17">
        <v>35</v>
      </c>
      <c r="V48" s="28">
        <v>39.8279741842913</v>
      </c>
      <c r="W48" s="40">
        <v>0.44255930373038171</v>
      </c>
      <c r="X48" s="35">
        <v>38.773684210526319</v>
      </c>
      <c r="Y48" s="35">
        <v>40.565065502183401</v>
      </c>
      <c r="Z48" s="18">
        <v>35</v>
      </c>
      <c r="AC48" s="41" t="s">
        <v>68</v>
      </c>
      <c r="AD48" s="18">
        <v>66</v>
      </c>
    </row>
    <row r="49" spans="1:30" s="19" customFormat="1" x14ac:dyDescent="0.25">
      <c r="A49" s="29" t="s">
        <v>48</v>
      </c>
      <c r="B49" s="21">
        <v>6.5948917254140191</v>
      </c>
      <c r="C49" s="37">
        <v>4.7858166021729599E-4</v>
      </c>
      <c r="D49" s="31">
        <v>6.5938427947598255</v>
      </c>
      <c r="E49" s="31">
        <v>6.5960101010101004</v>
      </c>
      <c r="F49" s="14">
        <v>72</v>
      </c>
      <c r="G49" s="24">
        <v>11.802028854281961</v>
      </c>
      <c r="H49" s="36">
        <v>0.49752785593975568</v>
      </c>
      <c r="I49" s="32">
        <v>10.169547325102879</v>
      </c>
      <c r="J49" s="32">
        <v>12.707438016528929</v>
      </c>
      <c r="K49" s="15">
        <v>72</v>
      </c>
      <c r="L49" s="23">
        <v>20.2555487277208</v>
      </c>
      <c r="M49" s="38">
        <v>0.10071008770141221</v>
      </c>
      <c r="N49" s="33">
        <v>19.98384279475983</v>
      </c>
      <c r="O49" s="33">
        <v>20.487224669603521</v>
      </c>
      <c r="P49" s="16">
        <v>72</v>
      </c>
      <c r="Q49" s="25">
        <v>52.940293990403028</v>
      </c>
      <c r="R49" s="39">
        <v>24.45087707039534</v>
      </c>
      <c r="S49" s="34">
        <v>27.13201754385965</v>
      </c>
      <c r="T49" s="34">
        <v>91.602643171806164</v>
      </c>
      <c r="U49" s="17">
        <v>72</v>
      </c>
      <c r="V49" s="28">
        <v>39.874033751931719</v>
      </c>
      <c r="W49" s="40">
        <v>0.41530066953369654</v>
      </c>
      <c r="X49" s="35">
        <v>38.822727272727271</v>
      </c>
      <c r="Y49" s="35">
        <v>40.567355371900831</v>
      </c>
      <c r="Z49" s="18">
        <v>72</v>
      </c>
      <c r="AC49" s="41" t="s">
        <v>65</v>
      </c>
      <c r="AD49" s="18">
        <v>54</v>
      </c>
    </row>
    <row r="50" spans="1:30" s="19" customFormat="1" x14ac:dyDescent="0.25">
      <c r="A50" s="29" t="s">
        <v>49</v>
      </c>
      <c r="B50" s="21">
        <v>6.5947151768004675</v>
      </c>
      <c r="C50" s="37">
        <v>4.5564687921349572E-4</v>
      </c>
      <c r="D50" s="31">
        <v>6.5939473684210528</v>
      </c>
      <c r="E50" s="31">
        <v>6.5955066079295159</v>
      </c>
      <c r="F50" s="14">
        <v>26</v>
      </c>
      <c r="G50" s="24">
        <v>11.54556716405324</v>
      </c>
      <c r="H50" s="36">
        <v>0.57558749853769164</v>
      </c>
      <c r="I50" s="32">
        <v>10.46506024096386</v>
      </c>
      <c r="J50" s="32">
        <v>12.37201646090535</v>
      </c>
      <c r="K50" s="15">
        <v>26</v>
      </c>
      <c r="L50" s="23">
        <v>18.284393511516278</v>
      </c>
      <c r="M50" s="38">
        <v>0.101037683109929</v>
      </c>
      <c r="N50" s="33">
        <v>18.035742971887551</v>
      </c>
      <c r="O50" s="33">
        <v>18.49006849315068</v>
      </c>
      <c r="P50" s="16">
        <v>26</v>
      </c>
      <c r="Q50" s="25">
        <v>53.488721015927773</v>
      </c>
      <c r="R50" s="39">
        <v>26.185006227218388</v>
      </c>
      <c r="S50" s="34">
        <v>27.192903225806454</v>
      </c>
      <c r="T50" s="34">
        <v>94.951712328767115</v>
      </c>
      <c r="U50" s="17">
        <v>26</v>
      </c>
      <c r="V50" s="28">
        <v>51.557937953751676</v>
      </c>
      <c r="W50" s="40">
        <v>0.34651916984774372</v>
      </c>
      <c r="X50" s="35">
        <v>50.608835341365463</v>
      </c>
      <c r="Y50" s="35">
        <v>52.011353711790392</v>
      </c>
      <c r="Z50" s="18">
        <v>26</v>
      </c>
      <c r="AC50" s="41" t="s">
        <v>23</v>
      </c>
      <c r="AD50" s="18">
        <v>53</v>
      </c>
    </row>
    <row r="51" spans="1:30" s="19" customFormat="1" x14ac:dyDescent="0.25">
      <c r="A51" s="29" t="s">
        <v>50</v>
      </c>
      <c r="B51" s="21">
        <v>6.5952817708945553</v>
      </c>
      <c r="C51" s="37">
        <v>6.2631399059115726E-4</v>
      </c>
      <c r="D51" s="31">
        <v>6.5942386831275721</v>
      </c>
      <c r="E51" s="31">
        <v>6.5959259259259264</v>
      </c>
      <c r="F51" s="14">
        <v>5</v>
      </c>
      <c r="G51" s="24">
        <v>11.562291883176311</v>
      </c>
      <c r="H51" s="36">
        <v>0.56543205041824307</v>
      </c>
      <c r="I51" s="32">
        <v>10.5590243902439</v>
      </c>
      <c r="J51" s="32">
        <v>11.9320987654321</v>
      </c>
      <c r="K51" s="15">
        <v>5</v>
      </c>
      <c r="L51" s="23">
        <v>18.102471338605248</v>
      </c>
      <c r="M51" s="38">
        <v>0.1391188711131848</v>
      </c>
      <c r="N51" s="33">
        <v>17.985802469135798</v>
      </c>
      <c r="O51" s="33">
        <v>18.322222222222219</v>
      </c>
      <c r="P51" s="16">
        <v>5</v>
      </c>
      <c r="Q51" s="25">
        <v>61.140388924582453</v>
      </c>
      <c r="R51" s="39">
        <v>13.24769866110538</v>
      </c>
      <c r="S51" s="34">
        <v>53.376585365853657</v>
      </c>
      <c r="T51" s="34">
        <v>84.714403292181061</v>
      </c>
      <c r="U51" s="17">
        <v>5</v>
      </c>
      <c r="V51" s="28">
        <v>50.816374331550797</v>
      </c>
      <c r="W51" s="40">
        <v>0.58776488990298481</v>
      </c>
      <c r="X51" s="35">
        <v>50.299382716049379</v>
      </c>
      <c r="Y51" s="35">
        <v>51.522222222222219</v>
      </c>
      <c r="Z51" s="18">
        <v>5</v>
      </c>
      <c r="AC51" s="42" t="s">
        <v>20</v>
      </c>
      <c r="AD51" s="18">
        <v>51</v>
      </c>
    </row>
    <row r="52" spans="1:30" x14ac:dyDescent="0.25">
      <c r="A52" s="30" t="s">
        <v>51</v>
      </c>
      <c r="B52" s="21">
        <v>11.87341497313691</v>
      </c>
      <c r="C52" s="37">
        <v>1.448603035642544E-3</v>
      </c>
      <c r="D52" s="31">
        <v>11.87047619047619</v>
      </c>
      <c r="E52" s="31">
        <v>11.87506849315068</v>
      </c>
      <c r="F52" s="14">
        <v>10</v>
      </c>
      <c r="G52" s="24">
        <v>10.18895629126912</v>
      </c>
      <c r="H52" s="36">
        <v>0.57831147395253324</v>
      </c>
      <c r="I52" s="32">
        <v>9.263461538461538</v>
      </c>
      <c r="J52" s="32">
        <v>10.602139037433151</v>
      </c>
      <c r="K52" s="15">
        <v>10</v>
      </c>
      <c r="L52" s="23">
        <v>10.50248612140591</v>
      </c>
      <c r="M52" s="38">
        <v>1.2143364271515319E-2</v>
      </c>
      <c r="N52" s="33">
        <v>10.476785714285709</v>
      </c>
      <c r="O52" s="33">
        <v>10.52237442922374</v>
      </c>
      <c r="P52" s="16">
        <v>10</v>
      </c>
      <c r="Q52" s="25">
        <v>42.413450579921857</v>
      </c>
      <c r="R52" s="39">
        <v>18.44573380198727</v>
      </c>
      <c r="S52" s="34">
        <v>27.107738095238101</v>
      </c>
      <c r="T52" s="34">
        <v>85.474331550802134</v>
      </c>
      <c r="U52" s="17">
        <v>10</v>
      </c>
      <c r="V52" s="28">
        <v>5.2994097050659956</v>
      </c>
      <c r="W52" s="40">
        <v>0.2707331795244633</v>
      </c>
      <c r="X52" s="35">
        <v>4.8427807486631016</v>
      </c>
      <c r="Y52" s="35">
        <v>5.7363128491620108</v>
      </c>
      <c r="Z52" s="18">
        <v>10</v>
      </c>
      <c r="AC52" s="42" t="s">
        <v>18</v>
      </c>
      <c r="AD52" s="18">
        <v>50</v>
      </c>
    </row>
    <row r="53" spans="1:30" s="19" customFormat="1" x14ac:dyDescent="0.25">
      <c r="A53" s="30" t="s">
        <v>52</v>
      </c>
      <c r="B53" s="21">
        <v>11.873306507308859</v>
      </c>
      <c r="C53" s="37">
        <v>1.6860324060520122E-3</v>
      </c>
      <c r="D53" s="31">
        <v>11.867358490566039</v>
      </c>
      <c r="E53" s="31">
        <v>11.877625</v>
      </c>
      <c r="F53" s="14">
        <v>264</v>
      </c>
      <c r="G53" s="24">
        <v>10.64710718331458</v>
      </c>
      <c r="H53" s="36">
        <v>0.48741383316430048</v>
      </c>
      <c r="I53" s="32">
        <v>8.9349999999999987</v>
      </c>
      <c r="J53" s="32">
        <v>11.6530612244898</v>
      </c>
      <c r="K53" s="15">
        <v>264</v>
      </c>
      <c r="L53" s="23">
        <v>11.3868696215086</v>
      </c>
      <c r="M53" s="38">
        <v>1.0215066847166159</v>
      </c>
      <c r="N53" s="33">
        <v>10.35612648221344</v>
      </c>
      <c r="O53" s="33">
        <v>12.689499999999999</v>
      </c>
      <c r="P53" s="16">
        <v>264</v>
      </c>
      <c r="Q53" s="25">
        <v>43.562367243658741</v>
      </c>
      <c r="R53" s="39">
        <v>16.92879285944294</v>
      </c>
      <c r="S53" s="34">
        <v>26.572049689441002</v>
      </c>
      <c r="T53" s="34">
        <v>89.797222222222217</v>
      </c>
      <c r="U53" s="17">
        <v>264</v>
      </c>
      <c r="V53" s="28">
        <v>5.3139081549327987</v>
      </c>
      <c r="W53" s="40">
        <v>0.34165549469059997</v>
      </c>
      <c r="X53" s="35">
        <v>4.1331249999999997</v>
      </c>
      <c r="Y53" s="35">
        <v>5.9862433862433857</v>
      </c>
      <c r="Z53" s="18">
        <v>264</v>
      </c>
      <c r="AC53" s="42" t="s">
        <v>19</v>
      </c>
      <c r="AD53" s="18">
        <v>49</v>
      </c>
    </row>
    <row r="54" spans="1:30" x14ac:dyDescent="0.25">
      <c r="A54" s="30" t="s">
        <v>53</v>
      </c>
      <c r="B54" s="21">
        <v>11.87343527257897</v>
      </c>
      <c r="C54" s="37">
        <v>1.189894333246727E-3</v>
      </c>
      <c r="D54" s="31">
        <v>11.86566265060241</v>
      </c>
      <c r="E54" s="31">
        <v>11.87963855421687</v>
      </c>
      <c r="F54" s="14">
        <v>4409</v>
      </c>
      <c r="G54" s="24">
        <v>11.008879667142379</v>
      </c>
      <c r="H54" s="36">
        <v>0.72592924423735672</v>
      </c>
      <c r="I54" s="32">
        <v>2.6595505617977531</v>
      </c>
      <c r="J54" s="32">
        <v>13.175333333333331</v>
      </c>
      <c r="K54" s="15">
        <v>4409</v>
      </c>
      <c r="L54" s="23">
        <v>11.73225202120045</v>
      </c>
      <c r="M54" s="38">
        <v>1.0074537237953201</v>
      </c>
      <c r="N54" s="33">
        <v>10.37219512195122</v>
      </c>
      <c r="O54" s="33">
        <v>12.69698795180723</v>
      </c>
      <c r="P54" s="16">
        <v>4409</v>
      </c>
      <c r="Q54" s="25">
        <v>44.73053450543641</v>
      </c>
      <c r="R54" s="39">
        <v>15.559307714985701</v>
      </c>
      <c r="S54" s="34">
        <v>25.873953488372091</v>
      </c>
      <c r="T54" s="34">
        <v>92.765277777777783</v>
      </c>
      <c r="U54" s="17">
        <v>4409</v>
      </c>
      <c r="V54" s="28">
        <v>5.2879803533791172</v>
      </c>
      <c r="W54" s="40">
        <v>0.35802550857418952</v>
      </c>
      <c r="X54" s="35">
        <v>3.9853503184713381</v>
      </c>
      <c r="Y54" s="35">
        <v>6.0020000000000007</v>
      </c>
      <c r="Z54" s="18">
        <v>4409</v>
      </c>
      <c r="AC54" s="42" t="s">
        <v>112</v>
      </c>
      <c r="AD54" s="18">
        <v>47</v>
      </c>
    </row>
    <row r="55" spans="1:30" s="19" customFormat="1" x14ac:dyDescent="0.25">
      <c r="A55" s="30" t="s">
        <v>54</v>
      </c>
      <c r="B55" s="21">
        <v>10.19260544035934</v>
      </c>
      <c r="C55" s="37">
        <v>1.9304747219585611E-2</v>
      </c>
      <c r="D55" s="31">
        <v>9.9524598930481289</v>
      </c>
      <c r="E55" s="31">
        <v>10.196968085106381</v>
      </c>
      <c r="F55" s="14">
        <v>926</v>
      </c>
      <c r="G55" s="24">
        <v>11.19152029852042</v>
      </c>
      <c r="H55" s="36">
        <v>0.98283257704075688</v>
      </c>
      <c r="I55" s="32">
        <v>0</v>
      </c>
      <c r="J55" s="32">
        <v>14.278095238095242</v>
      </c>
      <c r="K55" s="15">
        <v>926</v>
      </c>
      <c r="L55" s="23">
        <v>14.64016358664774</v>
      </c>
      <c r="M55" s="38">
        <v>6.2901933370737184E-2</v>
      </c>
      <c r="N55" s="33">
        <v>14.090740740740738</v>
      </c>
      <c r="O55" s="33">
        <v>14.785650224215249</v>
      </c>
      <c r="P55" s="16">
        <v>926</v>
      </c>
      <c r="Q55" s="25">
        <v>42.73057158134587</v>
      </c>
      <c r="R55" s="39">
        <v>15.81065483429877</v>
      </c>
      <c r="S55" s="34">
        <v>18.783333333333328</v>
      </c>
      <c r="T55" s="34">
        <v>93.093069306930687</v>
      </c>
      <c r="U55" s="17">
        <v>926</v>
      </c>
      <c r="V55" s="28">
        <v>16.778759656263968</v>
      </c>
      <c r="W55" s="40">
        <v>0.39476353893778737</v>
      </c>
      <c r="X55" s="35">
        <v>15.73179487179487</v>
      </c>
      <c r="Y55" s="35">
        <v>17.486241610738258</v>
      </c>
      <c r="Z55" s="18">
        <v>926</v>
      </c>
      <c r="AC55" s="42" t="s">
        <v>88</v>
      </c>
      <c r="AD55" s="18">
        <v>46</v>
      </c>
    </row>
    <row r="56" spans="1:30" s="19" customFormat="1" x14ac:dyDescent="0.25">
      <c r="A56" s="30" t="s">
        <v>55</v>
      </c>
      <c r="B56" s="21">
        <v>8.3946484336951634</v>
      </c>
      <c r="C56" s="37">
        <v>6.8689586033223739E-4</v>
      </c>
      <c r="D56" s="31">
        <v>8.392369942196531</v>
      </c>
      <c r="E56" s="31">
        <v>8.3976047904191606</v>
      </c>
      <c r="F56" s="14">
        <v>914</v>
      </c>
      <c r="G56" s="24">
        <v>11.4116366774737</v>
      </c>
      <c r="H56" s="36">
        <v>0.58196917887667998</v>
      </c>
      <c r="I56" s="32">
        <v>8.9053892215568862</v>
      </c>
      <c r="J56" s="32">
        <v>13.427884615384619</v>
      </c>
      <c r="K56" s="15">
        <v>914</v>
      </c>
      <c r="L56" s="23">
        <v>16.70281449668024</v>
      </c>
      <c r="M56" s="38">
        <v>0.60369595902452478</v>
      </c>
      <c r="N56" s="33">
        <v>12.601796407185629</v>
      </c>
      <c r="O56" s="33">
        <v>24.37245508982036</v>
      </c>
      <c r="P56" s="16">
        <v>914</v>
      </c>
      <c r="Q56" s="25">
        <v>42.118813544101052</v>
      </c>
      <c r="R56" s="39">
        <v>15.122219854231989</v>
      </c>
      <c r="S56" s="34">
        <v>23.185029940119758</v>
      </c>
      <c r="T56" s="34">
        <v>92.481918819188195</v>
      </c>
      <c r="U56" s="17">
        <v>914</v>
      </c>
      <c r="V56" s="28">
        <v>28.394860959823212</v>
      </c>
      <c r="W56" s="40">
        <v>0.97122583882707991</v>
      </c>
      <c r="X56" s="35">
        <v>27.223843416370109</v>
      </c>
      <c r="Y56" s="35">
        <v>40.52395209580839</v>
      </c>
      <c r="Z56" s="18">
        <v>914</v>
      </c>
      <c r="AC56" s="42" t="s">
        <v>24</v>
      </c>
      <c r="AD56" s="18">
        <v>43</v>
      </c>
    </row>
    <row r="57" spans="1:30" s="19" customFormat="1" x14ac:dyDescent="0.25">
      <c r="A57" s="30" t="s">
        <v>56</v>
      </c>
      <c r="B57" s="21">
        <v>7.1947333746390072</v>
      </c>
      <c r="C57" s="37">
        <v>5.8179136804455752E-4</v>
      </c>
      <c r="D57" s="31">
        <v>7.1927329192546585</v>
      </c>
      <c r="E57" s="31">
        <v>7.1974698795180725</v>
      </c>
      <c r="F57" s="14">
        <v>670</v>
      </c>
      <c r="G57" s="24">
        <v>11.554949590583609</v>
      </c>
      <c r="H57" s="36">
        <v>0.58501197201777422</v>
      </c>
      <c r="I57" s="32">
        <v>9.8571428571428577</v>
      </c>
      <c r="J57" s="32">
        <v>13.736301369863011</v>
      </c>
      <c r="K57" s="15">
        <v>670</v>
      </c>
      <c r="L57" s="23">
        <v>16.67771362372493</v>
      </c>
      <c r="M57" s="38">
        <v>0.13228480629588971</v>
      </c>
      <c r="N57" s="33">
        <v>15.098566308243729</v>
      </c>
      <c r="O57" s="33">
        <v>16.899999999999999</v>
      </c>
      <c r="P57" s="16">
        <v>670</v>
      </c>
      <c r="Q57" s="25">
        <v>48.25249943298779</v>
      </c>
      <c r="R57" s="39">
        <v>19.724109924290438</v>
      </c>
      <c r="S57" s="34">
        <v>26.566292134831464</v>
      </c>
      <c r="T57" s="34">
        <v>93.815217391304344</v>
      </c>
      <c r="U57" s="17">
        <v>670</v>
      </c>
      <c r="V57" s="28">
        <v>28.316143358450688</v>
      </c>
      <c r="W57" s="40">
        <v>0.3901983757206095</v>
      </c>
      <c r="X57" s="35">
        <v>27.23014184397163</v>
      </c>
      <c r="Y57" s="35">
        <v>29.005000000000003</v>
      </c>
      <c r="Z57" s="18">
        <v>670</v>
      </c>
      <c r="AC57" s="42" t="s">
        <v>113</v>
      </c>
      <c r="AD57" s="18">
        <v>36</v>
      </c>
    </row>
    <row r="58" spans="1:30" s="19" customFormat="1" x14ac:dyDescent="0.25">
      <c r="A58" s="30" t="s">
        <v>57</v>
      </c>
      <c r="B58" s="21">
        <v>7.1947564655471261</v>
      </c>
      <c r="C58" s="37">
        <v>6.1938400013300564E-4</v>
      </c>
      <c r="D58" s="31">
        <v>7.1917647058823526</v>
      </c>
      <c r="E58" s="31">
        <v>7.1966000000000001</v>
      </c>
      <c r="F58" s="14">
        <v>488</v>
      </c>
      <c r="G58" s="24">
        <v>11.46689692760539</v>
      </c>
      <c r="H58" s="36">
        <v>0.46683996681538487</v>
      </c>
      <c r="I58" s="32">
        <v>10.068341708542709</v>
      </c>
      <c r="J58" s="32">
        <v>12.353299492385791</v>
      </c>
      <c r="K58" s="15">
        <v>488</v>
      </c>
      <c r="L58" s="23">
        <v>16.663605845710752</v>
      </c>
      <c r="M58" s="38">
        <v>0.1991850126714238</v>
      </c>
      <c r="N58" s="33">
        <v>15.143032786885248</v>
      </c>
      <c r="O58" s="33">
        <v>16.883263598326359</v>
      </c>
      <c r="P58" s="16">
        <v>488</v>
      </c>
      <c r="Q58" s="25">
        <v>47.812893475409268</v>
      </c>
      <c r="R58" s="39">
        <v>19.39622836079614</v>
      </c>
      <c r="S58" s="34">
        <v>27.175877192982448</v>
      </c>
      <c r="T58" s="34">
        <v>97.55634517766498</v>
      </c>
      <c r="U58" s="17">
        <v>488</v>
      </c>
      <c r="V58" s="28">
        <v>28.292854052864449</v>
      </c>
      <c r="W58" s="40">
        <v>0.43585001858444672</v>
      </c>
      <c r="X58" s="35">
        <v>27.237185929648241</v>
      </c>
      <c r="Y58" s="35">
        <v>29.049618320610687</v>
      </c>
      <c r="Z58" s="18">
        <v>488</v>
      </c>
      <c r="AC58" s="42" t="s">
        <v>133</v>
      </c>
      <c r="AD58" s="18">
        <v>36</v>
      </c>
    </row>
    <row r="59" spans="1:30" s="19" customFormat="1" x14ac:dyDescent="0.25">
      <c r="A59" s="30" t="s">
        <v>58</v>
      </c>
      <c r="B59" s="21">
        <v>5.9952512775430886</v>
      </c>
      <c r="C59" s="37">
        <v>6.2693081247907245E-4</v>
      </c>
      <c r="D59" s="31">
        <v>5.9939759036144578</v>
      </c>
      <c r="E59" s="31">
        <v>5.9973125000000005</v>
      </c>
      <c r="F59" s="14">
        <v>150</v>
      </c>
      <c r="G59" s="24">
        <v>11.57193051069153</v>
      </c>
      <c r="H59" s="36">
        <v>0.5105293540034378</v>
      </c>
      <c r="I59" s="32">
        <v>10.40497512437811</v>
      </c>
      <c r="J59" s="32">
        <v>12.46183574879227</v>
      </c>
      <c r="K59" s="15">
        <v>150</v>
      </c>
      <c r="L59" s="23">
        <v>14.21917187646206</v>
      </c>
      <c r="M59" s="38">
        <v>0.1010272902576502</v>
      </c>
      <c r="N59" s="33">
        <v>13.939301310043669</v>
      </c>
      <c r="O59" s="33">
        <v>14.386473429951689</v>
      </c>
      <c r="P59" s="16">
        <v>150</v>
      </c>
      <c r="Q59" s="25">
        <v>48.052820560964221</v>
      </c>
      <c r="R59" s="39">
        <v>17.860314337228722</v>
      </c>
      <c r="S59" s="34">
        <v>26.386243386243386</v>
      </c>
      <c r="T59" s="34">
        <v>93.802764976958528</v>
      </c>
      <c r="U59" s="17">
        <v>150</v>
      </c>
      <c r="V59" s="28">
        <v>28.37096658746832</v>
      </c>
      <c r="W59" s="40">
        <v>0.40470545396287888</v>
      </c>
      <c r="X59" s="35">
        <v>27.31243523316062</v>
      </c>
      <c r="Y59" s="35">
        <v>29.121686746987951</v>
      </c>
      <c r="Z59" s="18">
        <v>150</v>
      </c>
      <c r="AC59" s="42" t="s">
        <v>47</v>
      </c>
      <c r="AD59" s="18">
        <v>35</v>
      </c>
    </row>
    <row r="60" spans="1:30" s="19" customFormat="1" x14ac:dyDescent="0.25">
      <c r="A60" s="30" t="s">
        <v>59</v>
      </c>
      <c r="B60" s="21">
        <v>5.9952371334861594</v>
      </c>
      <c r="C60" s="37">
        <v>6.7298158404393172E-4</v>
      </c>
      <c r="D60" s="31">
        <v>5.993934426229508</v>
      </c>
      <c r="E60" s="31">
        <v>5.9970642201834856</v>
      </c>
      <c r="F60" s="14">
        <v>123</v>
      </c>
      <c r="G60" s="24">
        <v>11.531773086488709</v>
      </c>
      <c r="H60" s="36">
        <v>0.53952672669303259</v>
      </c>
      <c r="I60" s="32">
        <v>9.5926530612244907</v>
      </c>
      <c r="J60" s="32">
        <v>12.745985401459851</v>
      </c>
      <c r="K60" s="15">
        <v>123</v>
      </c>
      <c r="L60" s="23">
        <v>16.210083672126</v>
      </c>
      <c r="M60" s="38">
        <v>0.1056510239470226</v>
      </c>
      <c r="N60" s="33">
        <v>15.94083333333333</v>
      </c>
      <c r="O60" s="33">
        <v>16.471255060728751</v>
      </c>
      <c r="P60" s="16">
        <v>123</v>
      </c>
      <c r="Q60" s="25">
        <v>43.124851640229714</v>
      </c>
      <c r="R60" s="39">
        <v>15.627203074412369</v>
      </c>
      <c r="S60" s="34">
        <v>27.130660377358492</v>
      </c>
      <c r="T60" s="34">
        <v>88.735944700460834</v>
      </c>
      <c r="U60" s="17">
        <v>123</v>
      </c>
      <c r="V60" s="28">
        <v>51.490673344376432</v>
      </c>
      <c r="W60" s="40">
        <v>0.40211977479840694</v>
      </c>
      <c r="X60" s="35">
        <v>50.375</v>
      </c>
      <c r="Y60" s="35">
        <v>52.337185929648243</v>
      </c>
      <c r="Z60" s="18">
        <v>123</v>
      </c>
      <c r="AC60" s="42" t="s">
        <v>123</v>
      </c>
      <c r="AD60" s="18">
        <v>34</v>
      </c>
    </row>
    <row r="61" spans="1:30" x14ac:dyDescent="0.25">
      <c r="A61" s="30" t="s">
        <v>60</v>
      </c>
      <c r="B61" s="21">
        <v>5.9523076161610682</v>
      </c>
      <c r="C61" s="37">
        <v>9.2079316356620616E-2</v>
      </c>
      <c r="D61" s="31">
        <v>5.7536974789915964</v>
      </c>
      <c r="E61" s="31">
        <v>5.9968674698795175</v>
      </c>
      <c r="F61" s="14">
        <v>315</v>
      </c>
      <c r="G61" s="24">
        <v>12.8397066788703</v>
      </c>
      <c r="H61" s="36">
        <v>0.49317159496874341</v>
      </c>
      <c r="I61" s="32">
        <v>7.1093959731543617</v>
      </c>
      <c r="J61" s="32">
        <v>13.949664429530198</v>
      </c>
      <c r="K61" s="15">
        <v>315</v>
      </c>
      <c r="L61" s="23">
        <v>18.176004095467921</v>
      </c>
      <c r="M61" s="38">
        <v>0.55170501354653623</v>
      </c>
      <c r="N61" s="33">
        <v>12.30966666666667</v>
      </c>
      <c r="O61" s="33">
        <v>18.435885167464118</v>
      </c>
      <c r="P61" s="16">
        <v>315</v>
      </c>
      <c r="Q61" s="25">
        <v>47.28903117212387</v>
      </c>
      <c r="R61" s="39">
        <v>17.19982890770833</v>
      </c>
      <c r="S61" s="34">
        <v>26.651315789473681</v>
      </c>
      <c r="T61" s="34">
        <v>95.709737827715358</v>
      </c>
      <c r="U61" s="17">
        <v>315</v>
      </c>
      <c r="V61" s="28">
        <v>51.460151308663889</v>
      </c>
      <c r="W61" s="40">
        <v>0.46347703283768321</v>
      </c>
      <c r="X61" s="35">
        <v>50.289898989898987</v>
      </c>
      <c r="Y61" s="35">
        <v>52.356765676567662</v>
      </c>
      <c r="Z61" s="18">
        <v>315</v>
      </c>
      <c r="AC61" s="42" t="s">
        <v>131</v>
      </c>
      <c r="AD61" s="18">
        <v>33</v>
      </c>
    </row>
    <row r="62" spans="1:30" s="19" customFormat="1" x14ac:dyDescent="0.25">
      <c r="A62" s="30" t="s">
        <v>61</v>
      </c>
      <c r="B62" s="21">
        <v>11.87329643268607</v>
      </c>
      <c r="C62" s="37">
        <v>2.3790175696143038E-3</v>
      </c>
      <c r="D62" s="31">
        <v>11.87118644067797</v>
      </c>
      <c r="E62" s="31">
        <v>11.87670588235294</v>
      </c>
      <c r="F62" s="14">
        <v>4</v>
      </c>
      <c r="G62" s="24">
        <v>10.444833746449691</v>
      </c>
      <c r="H62" s="36">
        <v>0.73952910238505731</v>
      </c>
      <c r="I62" s="32">
        <v>9.3853107344632782</v>
      </c>
      <c r="J62" s="32">
        <v>11.017647058823531</v>
      </c>
      <c r="K62" s="15">
        <v>4</v>
      </c>
      <c r="L62" s="23">
        <v>12.59326091706464</v>
      </c>
      <c r="M62" s="38">
        <v>9.3262406603300523E-3</v>
      </c>
      <c r="N62" s="33">
        <v>12.58022598870056</v>
      </c>
      <c r="O62" s="33">
        <v>12.6</v>
      </c>
      <c r="P62" s="16">
        <v>4</v>
      </c>
      <c r="Q62" s="25">
        <v>49.621688389568547</v>
      </c>
      <c r="R62" s="39">
        <v>25.025554795574351</v>
      </c>
      <c r="S62" s="34">
        <v>29.434466019417481</v>
      </c>
      <c r="T62" s="34">
        <v>84.001764705882351</v>
      </c>
      <c r="U62" s="17">
        <v>4</v>
      </c>
      <c r="V62" s="28">
        <v>5.4964178696633734</v>
      </c>
      <c r="W62" s="40">
        <v>0.1639169544915251</v>
      </c>
      <c r="X62" s="35">
        <v>5.3052941176470592</v>
      </c>
      <c r="Y62" s="35">
        <v>5.6873786407766991</v>
      </c>
      <c r="Z62" s="18">
        <v>4</v>
      </c>
      <c r="AC62" s="42" t="s">
        <v>84</v>
      </c>
      <c r="AD62" s="18">
        <v>28</v>
      </c>
    </row>
    <row r="63" spans="1:30" s="19" customFormat="1" x14ac:dyDescent="0.25">
      <c r="A63" s="30" t="s">
        <v>62</v>
      </c>
      <c r="B63" s="21">
        <v>11.873269084571779</v>
      </c>
      <c r="C63" s="37">
        <v>1.046523128708714E-3</v>
      </c>
      <c r="D63" s="31">
        <v>11.870564102564099</v>
      </c>
      <c r="E63" s="31">
        <v>11.875714285714288</v>
      </c>
      <c r="F63" s="14">
        <v>86</v>
      </c>
      <c r="G63" s="24">
        <v>10.937744892976101</v>
      </c>
      <c r="H63" s="36">
        <v>0.73043556073966953</v>
      </c>
      <c r="I63" s="32">
        <v>9.3846153846153832</v>
      </c>
      <c r="J63" s="32">
        <v>12.901255230125519</v>
      </c>
      <c r="K63" s="15">
        <v>86</v>
      </c>
      <c r="L63" s="23">
        <v>12.032912546441279</v>
      </c>
      <c r="M63" s="38">
        <v>0.90666852592877645</v>
      </c>
      <c r="N63" s="33">
        <v>10.39836734693878</v>
      </c>
      <c r="O63" s="33">
        <v>12.67061224489796</v>
      </c>
      <c r="P63" s="16">
        <v>86</v>
      </c>
      <c r="Q63" s="25">
        <v>44.275913432436326</v>
      </c>
      <c r="R63" s="39">
        <v>15.4485502338723</v>
      </c>
      <c r="S63" s="34">
        <v>26.556000000000001</v>
      </c>
      <c r="T63" s="34">
        <v>90.265573770491798</v>
      </c>
      <c r="U63" s="17">
        <v>86</v>
      </c>
      <c r="V63" s="28">
        <v>5.2933451043045654</v>
      </c>
      <c r="W63" s="40">
        <v>0.3829681608280382</v>
      </c>
      <c r="X63" s="35">
        <v>4.2832669322709176</v>
      </c>
      <c r="Y63" s="35">
        <v>5.9146938775510209</v>
      </c>
      <c r="Z63" s="18">
        <v>86</v>
      </c>
      <c r="AC63" s="42" t="s">
        <v>12</v>
      </c>
      <c r="AD63" s="18">
        <v>27</v>
      </c>
    </row>
    <row r="64" spans="1:30" s="19" customFormat="1" x14ac:dyDescent="0.25">
      <c r="A64" s="30" t="s">
        <v>63</v>
      </c>
      <c r="B64" s="21">
        <v>10.19403585223478</v>
      </c>
      <c r="C64" s="37">
        <v>9.7836718921273484E-4</v>
      </c>
      <c r="D64" s="31">
        <v>10.190994475138121</v>
      </c>
      <c r="E64" s="31">
        <v>10.196680497925309</v>
      </c>
      <c r="F64" s="14">
        <v>70</v>
      </c>
      <c r="G64" s="24">
        <v>11.26417650177118</v>
      </c>
      <c r="H64" s="36">
        <v>0.50639326933466344</v>
      </c>
      <c r="I64" s="32">
        <v>9.9416666666666664</v>
      </c>
      <c r="J64" s="32">
        <v>11.94720812182741</v>
      </c>
      <c r="K64" s="15">
        <v>70</v>
      </c>
      <c r="L64" s="23">
        <v>14.637075901641211</v>
      </c>
      <c r="M64" s="38">
        <v>5.8735233065628854E-2</v>
      </c>
      <c r="N64" s="33">
        <v>14.497975708502031</v>
      </c>
      <c r="O64" s="33">
        <v>14.733149171270719</v>
      </c>
      <c r="P64" s="16">
        <v>70</v>
      </c>
      <c r="Q64" s="25">
        <v>46.33333071206755</v>
      </c>
      <c r="R64" s="39">
        <v>17.14038596496842</v>
      </c>
      <c r="S64" s="34">
        <v>26.445999999999998</v>
      </c>
      <c r="T64" s="34">
        <v>87.838578680203042</v>
      </c>
      <c r="U64" s="17">
        <v>70</v>
      </c>
      <c r="V64" s="28">
        <v>16.79204008556723</v>
      </c>
      <c r="W64" s="40">
        <v>0.41802712762416017</v>
      </c>
      <c r="X64" s="35">
        <v>15.648339483394841</v>
      </c>
      <c r="Y64" s="35">
        <v>17.495522388059701</v>
      </c>
      <c r="Z64" s="18">
        <v>70</v>
      </c>
      <c r="AC64" s="42" t="s">
        <v>49</v>
      </c>
      <c r="AD64" s="18">
        <v>26</v>
      </c>
    </row>
    <row r="65" spans="1:30" s="19" customFormat="1" x14ac:dyDescent="0.25">
      <c r="A65" s="30" t="s">
        <v>64</v>
      </c>
      <c r="B65" s="21">
        <v>8.3946037473416446</v>
      </c>
      <c r="C65" s="37">
        <v>6.9407619094596635E-4</v>
      </c>
      <c r="D65" s="31">
        <v>8.3928426395939084</v>
      </c>
      <c r="E65" s="31">
        <v>8.3968220338983048</v>
      </c>
      <c r="F65" s="14">
        <v>74</v>
      </c>
      <c r="G65" s="24">
        <v>11.341704370807289</v>
      </c>
      <c r="H65" s="36">
        <v>0.52689567147560024</v>
      </c>
      <c r="I65" s="32">
        <v>8.9864583333333332</v>
      </c>
      <c r="J65" s="32">
        <v>12.30043668122271</v>
      </c>
      <c r="K65" s="15">
        <v>74</v>
      </c>
      <c r="L65" s="23">
        <v>16.62194608447221</v>
      </c>
      <c r="M65" s="38">
        <v>0.49256245559719708</v>
      </c>
      <c r="N65" s="33">
        <v>12.564467005076141</v>
      </c>
      <c r="O65" s="33">
        <v>16.875770925110128</v>
      </c>
      <c r="P65" s="16">
        <v>74</v>
      </c>
      <c r="Q65" s="25">
        <v>46.701463307816027</v>
      </c>
      <c r="R65" s="39">
        <v>19.21851545292736</v>
      </c>
      <c r="S65" s="34">
        <v>26.79081632653061</v>
      </c>
      <c r="T65" s="34">
        <v>91.179735682819384</v>
      </c>
      <c r="U65" s="17">
        <v>74</v>
      </c>
      <c r="V65" s="28">
        <v>28.261766102663721</v>
      </c>
      <c r="W65" s="40">
        <v>0.44089282006387531</v>
      </c>
      <c r="X65" s="35">
        <v>27.208860759493671</v>
      </c>
      <c r="Y65" s="35">
        <v>29.092537313432842</v>
      </c>
      <c r="Z65" s="18">
        <v>74</v>
      </c>
      <c r="AC65" s="42" t="s">
        <v>111</v>
      </c>
      <c r="AD65" s="18">
        <v>24</v>
      </c>
    </row>
    <row r="66" spans="1:30" s="19" customFormat="1" x14ac:dyDescent="0.25">
      <c r="A66" s="30" t="s">
        <v>65</v>
      </c>
      <c r="B66" s="21">
        <v>7.1947655864126201</v>
      </c>
      <c r="C66" s="37">
        <v>6.0278184299349569E-4</v>
      </c>
      <c r="D66" s="31">
        <v>7.1936021505376342</v>
      </c>
      <c r="E66" s="31">
        <v>7.1961165048543698</v>
      </c>
      <c r="F66" s="14">
        <v>54</v>
      </c>
      <c r="G66" s="24">
        <v>11.416061082328699</v>
      </c>
      <c r="H66" s="36">
        <v>0.60272961790212731</v>
      </c>
      <c r="I66" s="32">
        <v>9.1767195767195773</v>
      </c>
      <c r="J66" s="32">
        <v>12.347572815533979</v>
      </c>
      <c r="K66" s="15">
        <v>54</v>
      </c>
      <c r="L66" s="23">
        <v>16.600188611661249</v>
      </c>
      <c r="M66" s="38">
        <v>0.56395974600501675</v>
      </c>
      <c r="N66" s="33">
        <v>12.979601990049749</v>
      </c>
      <c r="O66" s="33">
        <v>16.827956989247308</v>
      </c>
      <c r="P66" s="16">
        <v>54</v>
      </c>
      <c r="Q66" s="25">
        <v>47.032939652618637</v>
      </c>
      <c r="R66" s="39">
        <v>18.187902995612088</v>
      </c>
      <c r="S66" s="34">
        <v>27.20169491525424</v>
      </c>
      <c r="T66" s="34">
        <v>94.448058252427188</v>
      </c>
      <c r="U66" s="17">
        <v>54</v>
      </c>
      <c r="V66" s="28">
        <v>28.393341605570452</v>
      </c>
      <c r="W66" s="40">
        <v>0.34055450749244642</v>
      </c>
      <c r="X66" s="35">
        <v>27.426063829787228</v>
      </c>
      <c r="Y66" s="35">
        <v>29.016465863453824</v>
      </c>
      <c r="Z66" s="18">
        <v>54</v>
      </c>
      <c r="AC66" s="42" t="s">
        <v>114</v>
      </c>
      <c r="AD66" s="18">
        <v>24</v>
      </c>
    </row>
    <row r="67" spans="1:30" s="19" customFormat="1" x14ac:dyDescent="0.25">
      <c r="A67" s="30" t="s">
        <v>66</v>
      </c>
      <c r="B67" s="21">
        <v>7.1947055072819879</v>
      </c>
      <c r="C67" s="37">
        <v>5.8462962726036987E-4</v>
      </c>
      <c r="D67" s="31">
        <v>7.1931016042780742</v>
      </c>
      <c r="E67" s="31">
        <v>7.1962626262626257</v>
      </c>
      <c r="F67" s="14">
        <v>113</v>
      </c>
      <c r="G67" s="24">
        <v>11.440062276881131</v>
      </c>
      <c r="H67" s="36">
        <v>0.52943419196233987</v>
      </c>
      <c r="I67" s="32">
        <v>10.0704845814978</v>
      </c>
      <c r="J67" s="32">
        <v>13.634812286689419</v>
      </c>
      <c r="K67" s="15">
        <v>113</v>
      </c>
      <c r="L67" s="23">
        <v>16.661270139473409</v>
      </c>
      <c r="M67" s="38">
        <v>0.28154765337842169</v>
      </c>
      <c r="N67" s="33">
        <v>14.07185929648241</v>
      </c>
      <c r="O67" s="33">
        <v>16.816216216216219</v>
      </c>
      <c r="P67" s="16">
        <v>113</v>
      </c>
      <c r="Q67" s="25">
        <v>45.09399180439852</v>
      </c>
      <c r="R67" s="39">
        <v>18.80540968301634</v>
      </c>
      <c r="S67" s="34">
        <v>28.2075</v>
      </c>
      <c r="T67" s="34">
        <v>97.845959595959599</v>
      </c>
      <c r="U67" s="17">
        <v>113</v>
      </c>
      <c r="V67" s="28">
        <v>28.367246057973567</v>
      </c>
      <c r="W67" s="40">
        <v>0.3776533118295648</v>
      </c>
      <c r="X67" s="35">
        <v>27.32896174863388</v>
      </c>
      <c r="Y67" s="35">
        <v>29.078854625550662</v>
      </c>
      <c r="Z67" s="18">
        <v>113</v>
      </c>
      <c r="AC67" s="42" t="s">
        <v>117</v>
      </c>
      <c r="AD67" s="18">
        <v>24</v>
      </c>
    </row>
    <row r="68" spans="1:30" s="19" customFormat="1" x14ac:dyDescent="0.25">
      <c r="A68" s="30" t="s">
        <v>67</v>
      </c>
      <c r="B68" s="21">
        <v>5.9952065825390024</v>
      </c>
      <c r="C68" s="37">
        <v>7.5510671020588961E-4</v>
      </c>
      <c r="D68" s="31">
        <v>5.9939759036144578</v>
      </c>
      <c r="E68" s="31">
        <v>5.9968859649122805</v>
      </c>
      <c r="F68" s="14">
        <v>76</v>
      </c>
      <c r="G68" s="24">
        <v>11.495571120382669</v>
      </c>
      <c r="H68" s="36">
        <v>0.54782651520595782</v>
      </c>
      <c r="I68" s="32">
        <v>10.3224043715847</v>
      </c>
      <c r="J68" s="32">
        <v>12.50246305418719</v>
      </c>
      <c r="K68" s="15">
        <v>76</v>
      </c>
      <c r="L68" s="23">
        <v>14.21528425458539</v>
      </c>
      <c r="M68" s="38">
        <v>9.5784179517495141E-2</v>
      </c>
      <c r="N68" s="33">
        <v>13.928800000000001</v>
      </c>
      <c r="O68" s="33">
        <v>14.452434456928838</v>
      </c>
      <c r="P68" s="16">
        <v>76</v>
      </c>
      <c r="Q68" s="25">
        <v>45.20039154594847</v>
      </c>
      <c r="R68" s="39">
        <v>17.359028110537551</v>
      </c>
      <c r="S68" s="34">
        <v>27.28633879781421</v>
      </c>
      <c r="T68" s="34">
        <v>93.064583333333331</v>
      </c>
      <c r="U68" s="17">
        <v>76</v>
      </c>
      <c r="V68" s="28">
        <v>28.396563464294978</v>
      </c>
      <c r="W68" s="40">
        <v>0.40105167469281139</v>
      </c>
      <c r="X68" s="35">
        <v>27.389999999999997</v>
      </c>
      <c r="Y68" s="35">
        <v>29.028645833333332</v>
      </c>
      <c r="Z68" s="18">
        <v>76</v>
      </c>
      <c r="AC68" s="42" t="s">
        <v>85</v>
      </c>
      <c r="AD68" s="18">
        <v>22</v>
      </c>
    </row>
    <row r="69" spans="1:30" s="19" customFormat="1" x14ac:dyDescent="0.25">
      <c r="A69" s="30" t="s">
        <v>68</v>
      </c>
      <c r="B69" s="21">
        <v>5.9951224135417718</v>
      </c>
      <c r="C69" s="37">
        <v>7.3548921202724838E-4</v>
      </c>
      <c r="D69" s="31">
        <v>5.9937704918032786</v>
      </c>
      <c r="E69" s="31">
        <v>5.9971244635193139</v>
      </c>
      <c r="F69" s="14">
        <v>66</v>
      </c>
      <c r="G69" s="24">
        <v>11.507716746390519</v>
      </c>
      <c r="H69" s="36">
        <v>0.57480055533002372</v>
      </c>
      <c r="I69" s="32">
        <v>9.4819672131147534</v>
      </c>
      <c r="J69" s="32">
        <v>12.430125523012551</v>
      </c>
      <c r="K69" s="15">
        <v>66</v>
      </c>
      <c r="L69" s="23">
        <v>16.194094961155749</v>
      </c>
      <c r="M69" s="38">
        <v>0.10762868753345441</v>
      </c>
      <c r="N69" s="33">
        <v>15.999111111111111</v>
      </c>
      <c r="O69" s="33">
        <v>16.468858131487888</v>
      </c>
      <c r="P69" s="16">
        <v>66</v>
      </c>
      <c r="Q69" s="25">
        <v>43.023987110965408</v>
      </c>
      <c r="R69" s="39">
        <v>16.06402112303228</v>
      </c>
      <c r="S69" s="34">
        <v>26.941566265060242</v>
      </c>
      <c r="T69" s="34">
        <v>92.919600000000003</v>
      </c>
      <c r="U69" s="17">
        <v>66</v>
      </c>
      <c r="V69" s="28">
        <v>51.452038873030929</v>
      </c>
      <c r="W69" s="40">
        <v>0.40332777346709908</v>
      </c>
      <c r="X69" s="35">
        <v>50.467599999999997</v>
      </c>
      <c r="Y69" s="35">
        <v>52.263346613545821</v>
      </c>
      <c r="Z69" s="18">
        <v>66</v>
      </c>
      <c r="AC69" s="42" t="s">
        <v>107</v>
      </c>
      <c r="AD69" s="18">
        <v>22</v>
      </c>
    </row>
    <row r="70" spans="1:30" s="19" customFormat="1" x14ac:dyDescent="0.25">
      <c r="A70" s="30" t="s">
        <v>69</v>
      </c>
      <c r="B70" s="21">
        <v>5.9626545487802458</v>
      </c>
      <c r="C70" s="37">
        <v>8.2518492241525049E-2</v>
      </c>
      <c r="D70" s="31">
        <v>5.7541860465116281</v>
      </c>
      <c r="E70" s="31">
        <v>5.9977439024390238</v>
      </c>
      <c r="F70" s="14">
        <v>126</v>
      </c>
      <c r="G70" s="24">
        <v>12.684516246887441</v>
      </c>
      <c r="H70" s="36">
        <v>0.53911080725634686</v>
      </c>
      <c r="I70" s="32">
        <v>10.11803278688525</v>
      </c>
      <c r="J70" s="32">
        <v>13.909764309764309</v>
      </c>
      <c r="K70" s="15">
        <v>126</v>
      </c>
      <c r="L70" s="23">
        <v>18.193371141968939</v>
      </c>
      <c r="M70" s="38">
        <v>0.50315307398492448</v>
      </c>
      <c r="N70" s="33">
        <v>12.73067226890756</v>
      </c>
      <c r="O70" s="33">
        <v>18.40819672131148</v>
      </c>
      <c r="P70" s="16">
        <v>126</v>
      </c>
      <c r="Q70" s="25">
        <v>48.262774698249189</v>
      </c>
      <c r="R70" s="39">
        <v>17.91116214399997</v>
      </c>
      <c r="S70" s="34">
        <v>27.872147651006706</v>
      </c>
      <c r="T70" s="34">
        <v>99.790283400809727</v>
      </c>
      <c r="U70" s="17">
        <v>126</v>
      </c>
      <c r="V70" s="28">
        <v>51.551423600960504</v>
      </c>
      <c r="W70" s="40">
        <v>0.39412666519005513</v>
      </c>
      <c r="X70" s="35">
        <v>50.454502369668241</v>
      </c>
      <c r="Y70" s="35">
        <v>52.188034188034194</v>
      </c>
      <c r="Z70" s="18">
        <v>126</v>
      </c>
      <c r="AC70" s="42" t="s">
        <v>78</v>
      </c>
      <c r="AD70" s="18">
        <v>21</v>
      </c>
    </row>
    <row r="71" spans="1:30" s="19" customFormat="1" x14ac:dyDescent="0.25">
      <c r="A71" s="30" t="s">
        <v>70</v>
      </c>
      <c r="B71" s="21">
        <v>11.874512420273319</v>
      </c>
      <c r="C71" s="37">
        <v>3.7413656578620734E-4</v>
      </c>
      <c r="D71" s="31">
        <v>11.87410480349345</v>
      </c>
      <c r="E71" s="31">
        <v>11.8748401826484</v>
      </c>
      <c r="F71" s="14">
        <v>3</v>
      </c>
      <c r="G71" s="24">
        <v>9.3176936353214721</v>
      </c>
      <c r="H71" s="36">
        <v>6.553529954006633E-2</v>
      </c>
      <c r="I71" s="32">
        <v>9.2585152838427938</v>
      </c>
      <c r="J71" s="32">
        <v>9.3881278538812776</v>
      </c>
      <c r="K71" s="15">
        <v>3</v>
      </c>
      <c r="L71" s="23">
        <v>12.60071405528409</v>
      </c>
      <c r="M71" s="38">
        <v>2.548491644682116E-2</v>
      </c>
      <c r="N71" s="33">
        <v>12.577292576419209</v>
      </c>
      <c r="O71" s="33">
        <v>12.62785388127854</v>
      </c>
      <c r="P71" s="16">
        <v>3</v>
      </c>
      <c r="Q71" s="25">
        <v>29.541479504428821</v>
      </c>
      <c r="R71" s="39">
        <v>6.3813136440264913</v>
      </c>
      <c r="S71" s="34">
        <v>25.386899563318782</v>
      </c>
      <c r="T71" s="34">
        <v>36.889041095890413</v>
      </c>
      <c r="U71" s="17">
        <v>3</v>
      </c>
      <c r="V71" s="28">
        <v>5.6124769490844377</v>
      </c>
      <c r="W71" s="40">
        <v>0.1141456861912284</v>
      </c>
      <c r="X71" s="35">
        <v>5.5179039301310038</v>
      </c>
      <c r="Y71" s="35">
        <v>5.7392694063926939</v>
      </c>
      <c r="Z71" s="18">
        <v>3</v>
      </c>
      <c r="AC71" s="42" t="s">
        <v>105</v>
      </c>
      <c r="AD71" s="18">
        <v>20</v>
      </c>
    </row>
    <row r="72" spans="1:30" s="19" customFormat="1" x14ac:dyDescent="0.25">
      <c r="A72" s="30" t="s">
        <v>71</v>
      </c>
      <c r="B72" s="21">
        <v>10.194245276923249</v>
      </c>
      <c r="C72" s="37">
        <v>9.2219475819245163E-4</v>
      </c>
      <c r="D72" s="31">
        <v>10.193290043290039</v>
      </c>
      <c r="E72" s="31">
        <v>10.195130434782611</v>
      </c>
      <c r="F72" s="14">
        <v>3</v>
      </c>
      <c r="G72" s="24">
        <v>10.67370826379306</v>
      </c>
      <c r="H72" s="36">
        <v>0.41434651664406347</v>
      </c>
      <c r="I72" s="32">
        <v>10.20347826086957</v>
      </c>
      <c r="J72" s="32">
        <v>10.98528138528139</v>
      </c>
      <c r="K72" s="15">
        <v>3</v>
      </c>
      <c r="L72" s="23">
        <v>14.650299893343369</v>
      </c>
      <c r="M72" s="38">
        <v>8.0159512404841399E-2</v>
      </c>
      <c r="N72" s="33">
        <v>14.557826086956521</v>
      </c>
      <c r="O72" s="33">
        <v>14.7</v>
      </c>
      <c r="P72" s="16">
        <v>3</v>
      </c>
      <c r="Q72" s="25">
        <v>59.277238160840909</v>
      </c>
      <c r="R72" s="39">
        <v>26.967497491704478</v>
      </c>
      <c r="S72" s="34">
        <v>28.31608695652174</v>
      </c>
      <c r="T72" s="34">
        <v>77.639004149377598</v>
      </c>
      <c r="U72" s="17">
        <v>3</v>
      </c>
      <c r="V72" s="28">
        <v>16.681059415057252</v>
      </c>
      <c r="W72" s="40">
        <v>0.41860448521578153</v>
      </c>
      <c r="X72" s="35">
        <v>16.197826086956518</v>
      </c>
      <c r="Y72" s="35">
        <v>16.932365145228211</v>
      </c>
      <c r="Z72" s="18">
        <v>3</v>
      </c>
      <c r="AC72" s="42" t="s">
        <v>108</v>
      </c>
      <c r="AD72" s="18">
        <v>19</v>
      </c>
    </row>
    <row r="73" spans="1:30" s="19" customFormat="1" x14ac:dyDescent="0.25">
      <c r="A73" s="30" t="s">
        <v>72</v>
      </c>
      <c r="B73" s="21">
        <v>7.1949367088607596</v>
      </c>
      <c r="C73" s="37">
        <v>0</v>
      </c>
      <c r="D73" s="31">
        <v>7.1949367088607596</v>
      </c>
      <c r="E73" s="31">
        <v>7.1949367088607596</v>
      </c>
      <c r="F73" s="14">
        <v>1</v>
      </c>
      <c r="G73" s="24">
        <v>10.832067510548519</v>
      </c>
      <c r="H73" s="36">
        <v>0</v>
      </c>
      <c r="I73" s="32">
        <v>10.832067510548519</v>
      </c>
      <c r="J73" s="32">
        <v>10.832067510548519</v>
      </c>
      <c r="K73" s="15">
        <v>1</v>
      </c>
      <c r="L73" s="23">
        <v>16.694936708860759</v>
      </c>
      <c r="M73" s="38">
        <v>0</v>
      </c>
      <c r="N73" s="33">
        <v>16.694936708860759</v>
      </c>
      <c r="O73" s="33">
        <v>16.694936708860759</v>
      </c>
      <c r="P73" s="16">
        <v>1</v>
      </c>
      <c r="Q73" s="25">
        <v>29.723628691983116</v>
      </c>
      <c r="R73" s="39">
        <v>0</v>
      </c>
      <c r="S73" s="34">
        <v>29.723628691983116</v>
      </c>
      <c r="T73" s="34">
        <v>29.723628691983116</v>
      </c>
      <c r="U73" s="17">
        <v>1</v>
      </c>
      <c r="V73" s="28">
        <v>28.459493670886083</v>
      </c>
      <c r="W73" s="40">
        <v>0</v>
      </c>
      <c r="X73" s="35">
        <v>28.459493670886083</v>
      </c>
      <c r="Y73" s="35">
        <v>28.459493670886083</v>
      </c>
      <c r="Z73" s="18">
        <v>1</v>
      </c>
      <c r="AC73" s="42" t="s">
        <v>125</v>
      </c>
      <c r="AD73" s="18">
        <v>18</v>
      </c>
    </row>
    <row r="74" spans="1:30" s="19" customFormat="1" x14ac:dyDescent="0.25">
      <c r="A74" s="30" t="s">
        <v>73</v>
      </c>
      <c r="B74" s="21">
        <v>5.9953790816345034</v>
      </c>
      <c r="C74" s="37">
        <v>2.9422604643894478E-4</v>
      </c>
      <c r="D74" s="31">
        <v>5.9951528384279484</v>
      </c>
      <c r="E74" s="31">
        <v>5.9958008658008657</v>
      </c>
      <c r="F74" s="14">
        <v>4</v>
      </c>
      <c r="G74" s="24">
        <v>10.98955632277859</v>
      </c>
      <c r="H74" s="36">
        <v>0.2737464357701353</v>
      </c>
      <c r="I74" s="32">
        <v>10.68127853881278</v>
      </c>
      <c r="J74" s="32">
        <v>11.34718614718615</v>
      </c>
      <c r="K74" s="15">
        <v>4</v>
      </c>
      <c r="L74" s="23">
        <v>14.189864767897699</v>
      </c>
      <c r="M74" s="38">
        <v>7.7528778323491573E-2</v>
      </c>
      <c r="N74" s="33">
        <v>14.12294372294372</v>
      </c>
      <c r="O74" s="33">
        <v>14.30182648401826</v>
      </c>
      <c r="P74" s="16">
        <v>4</v>
      </c>
      <c r="Q74" s="25">
        <v>36.008150714994926</v>
      </c>
      <c r="R74" s="39">
        <v>3.7718532528047986</v>
      </c>
      <c r="S74" s="34">
        <v>32.357077625570781</v>
      </c>
      <c r="T74" s="34">
        <v>39.503124999999997</v>
      </c>
      <c r="U74" s="17">
        <v>4</v>
      </c>
      <c r="V74" s="28">
        <v>28.179460179203609</v>
      </c>
      <c r="W74" s="40">
        <v>0.21596122034529111</v>
      </c>
      <c r="X74" s="35">
        <v>27.995535714285722</v>
      </c>
      <c r="Y74" s="35">
        <v>28.472602739726028</v>
      </c>
      <c r="Z74" s="18">
        <v>4</v>
      </c>
      <c r="AC74" s="42" t="s">
        <v>128</v>
      </c>
      <c r="AD74" s="18">
        <v>18</v>
      </c>
    </row>
    <row r="75" spans="1:30" s="19" customFormat="1" x14ac:dyDescent="0.25">
      <c r="A75" s="30" t="s">
        <v>74</v>
      </c>
      <c r="B75" s="21">
        <v>5.9950432900432906</v>
      </c>
      <c r="C75" s="37">
        <v>9.4893117821582618E-4</v>
      </c>
      <c r="D75" s="31">
        <v>5.9943722943722948</v>
      </c>
      <c r="E75" s="31">
        <v>5.9957142857142856</v>
      </c>
      <c r="F75" s="14">
        <v>2</v>
      </c>
      <c r="G75" s="24">
        <v>10.923809523809521</v>
      </c>
      <c r="H75" s="36">
        <v>0.37467476197936578</v>
      </c>
      <c r="I75" s="32">
        <v>10.658874458874461</v>
      </c>
      <c r="J75" s="32">
        <v>11.188744588744591</v>
      </c>
      <c r="K75" s="15">
        <v>2</v>
      </c>
      <c r="L75" s="23">
        <v>16.29069264069264</v>
      </c>
      <c r="M75" s="38">
        <v>1.3162593762347649E-2</v>
      </c>
      <c r="N75" s="33">
        <v>16.28138528138528</v>
      </c>
      <c r="O75" s="33">
        <v>16.3</v>
      </c>
      <c r="P75" s="16">
        <v>2</v>
      </c>
      <c r="Q75" s="25">
        <v>51.746536796536795</v>
      </c>
      <c r="R75" s="39">
        <v>28.253354457461974</v>
      </c>
      <c r="S75" s="34">
        <v>31.768398268398272</v>
      </c>
      <c r="T75" s="34">
        <v>71.724675324675317</v>
      </c>
      <c r="U75" s="17">
        <v>2</v>
      </c>
      <c r="V75" s="28">
        <v>51.727272727272727</v>
      </c>
      <c r="W75" s="40">
        <v>0.25406867029646152</v>
      </c>
      <c r="X75" s="35">
        <v>51.547619047619051</v>
      </c>
      <c r="Y75" s="35">
        <v>51.906926406926402</v>
      </c>
      <c r="Z75" s="18">
        <v>2</v>
      </c>
      <c r="AC75" s="42" t="s">
        <v>118</v>
      </c>
      <c r="AD75" s="18">
        <v>17</v>
      </c>
    </row>
    <row r="76" spans="1:30" s="19" customFormat="1" x14ac:dyDescent="0.25">
      <c r="A76" s="30" t="s">
        <v>75</v>
      </c>
      <c r="B76" s="21">
        <v>5.9957881383527694</v>
      </c>
      <c r="C76" s="37">
        <v>5.9640253294623304E-4</v>
      </c>
      <c r="D76" s="31">
        <v>5.9951807228915666</v>
      </c>
      <c r="E76" s="31">
        <v>5.9963728813559314</v>
      </c>
      <c r="F76" s="14">
        <v>3</v>
      </c>
      <c r="G76" s="24">
        <v>12.253462351467251</v>
      </c>
      <c r="H76" s="36">
        <v>0.17376282717321181</v>
      </c>
      <c r="I76" s="32">
        <v>12.0528813559322</v>
      </c>
      <c r="J76" s="32">
        <v>12.358108108108109</v>
      </c>
      <c r="K76" s="15">
        <v>3</v>
      </c>
      <c r="L76" s="23">
        <v>18.064536524476278</v>
      </c>
      <c r="M76" s="38">
        <v>3.0712816894858552E-2</v>
      </c>
      <c r="N76" s="33">
        <v>18.046621621621618</v>
      </c>
      <c r="O76" s="33">
        <v>18.100000000000001</v>
      </c>
      <c r="P76" s="16">
        <v>3</v>
      </c>
      <c r="Q76" s="25">
        <v>46.715131986182634</v>
      </c>
      <c r="R76" s="39">
        <v>12.963572694177639</v>
      </c>
      <c r="S76" s="34">
        <v>31.746440677966099</v>
      </c>
      <c r="T76" s="34">
        <v>54.288513513513507</v>
      </c>
      <c r="U76" s="17">
        <v>3</v>
      </c>
      <c r="V76" s="28">
        <v>50.668430434212041</v>
      </c>
      <c r="W76" s="40">
        <v>0.40018071769342517</v>
      </c>
      <c r="X76" s="35">
        <v>50.400803212851415</v>
      </c>
      <c r="Y76" s="35">
        <v>51.128474576271188</v>
      </c>
      <c r="Z76" s="18">
        <v>3</v>
      </c>
      <c r="AC76" s="42" t="s">
        <v>119</v>
      </c>
      <c r="AD76" s="18">
        <v>17</v>
      </c>
    </row>
    <row r="77" spans="1:30" s="19" customFormat="1" x14ac:dyDescent="0.25">
      <c r="A77" s="30" t="s">
        <v>76</v>
      </c>
      <c r="B77" s="21">
        <v>5.9952818590704648</v>
      </c>
      <c r="C77" s="37">
        <v>1.5477899558181848E-4</v>
      </c>
      <c r="D77" s="31">
        <v>5.9951724137931031</v>
      </c>
      <c r="E77" s="31">
        <v>5.9953913043478257</v>
      </c>
      <c r="F77" s="14">
        <v>2</v>
      </c>
      <c r="G77" s="24">
        <v>13.767672413793099</v>
      </c>
      <c r="H77" s="36">
        <v>9.5703245384729657E-2</v>
      </c>
      <c r="I77" s="32">
        <v>13.7</v>
      </c>
      <c r="J77" s="32">
        <v>13.835344827586209</v>
      </c>
      <c r="K77" s="15">
        <v>2</v>
      </c>
      <c r="L77" s="23">
        <v>31.892183283358321</v>
      </c>
      <c r="M77" s="38">
        <v>8.0066326310547047E-3</v>
      </c>
      <c r="N77" s="33">
        <v>31.886521739130433</v>
      </c>
      <c r="O77" s="33">
        <v>31.897844827586209</v>
      </c>
      <c r="P77" s="16">
        <v>2</v>
      </c>
      <c r="Q77" s="25">
        <v>60.028266491754131</v>
      </c>
      <c r="R77" s="39">
        <v>0.2539356147894653</v>
      </c>
      <c r="S77" s="34">
        <v>59.848706896551718</v>
      </c>
      <c r="T77" s="34">
        <v>60.20782608695653</v>
      </c>
      <c r="U77" s="17">
        <v>2</v>
      </c>
      <c r="V77" s="28">
        <v>51.761609820089959</v>
      </c>
      <c r="W77" s="40">
        <v>4.5068781162208048E-2</v>
      </c>
      <c r="X77" s="35">
        <v>51.729741379310347</v>
      </c>
      <c r="Y77" s="35">
        <v>51.793478260869563</v>
      </c>
      <c r="Z77" s="18">
        <v>2</v>
      </c>
      <c r="AC77" s="42" t="s">
        <v>35</v>
      </c>
      <c r="AD77" s="18">
        <v>16</v>
      </c>
    </row>
    <row r="78" spans="1:30" s="19" customFormat="1" x14ac:dyDescent="0.25">
      <c r="A78" s="30" t="s">
        <v>77</v>
      </c>
      <c r="B78" s="21">
        <v>5.9954858713865633</v>
      </c>
      <c r="C78" s="37">
        <v>6.4840087200253988E-4</v>
      </c>
      <c r="D78" s="31">
        <v>5.9943023255813959</v>
      </c>
      <c r="E78" s="31">
        <v>5.9968449197860956</v>
      </c>
      <c r="F78" s="14">
        <v>16</v>
      </c>
      <c r="G78" s="24">
        <v>13.869337364653441</v>
      </c>
      <c r="H78" s="36">
        <v>0.46043359959132585</v>
      </c>
      <c r="I78" s="32">
        <v>13.217460317460318</v>
      </c>
      <c r="J78" s="32">
        <v>14.611618257261409</v>
      </c>
      <c r="K78" s="15">
        <v>16</v>
      </c>
      <c r="L78" s="23">
        <v>31.742639766049592</v>
      </c>
      <c r="M78" s="38">
        <v>0.10218493475809769</v>
      </c>
      <c r="N78" s="33">
        <v>31.47478991596639</v>
      </c>
      <c r="O78" s="33">
        <v>31.915606936416189</v>
      </c>
      <c r="P78" s="16">
        <v>16</v>
      </c>
      <c r="Q78" s="25">
        <v>55.174714037283614</v>
      </c>
      <c r="R78" s="39">
        <v>15.829457055160981</v>
      </c>
      <c r="S78" s="34">
        <v>27.184453781512598</v>
      </c>
      <c r="T78" s="34">
        <v>85.36820809248556</v>
      </c>
      <c r="U78" s="17">
        <v>16</v>
      </c>
      <c r="V78" s="28">
        <v>51.421846769614362</v>
      </c>
      <c r="W78" s="40">
        <v>0.30324902796268233</v>
      </c>
      <c r="X78" s="35">
        <v>50.645816733067733</v>
      </c>
      <c r="Y78" s="35">
        <v>51.8096256684492</v>
      </c>
      <c r="Z78" s="18">
        <v>16</v>
      </c>
      <c r="AC78" s="42" t="s">
        <v>37</v>
      </c>
      <c r="AD78" s="18">
        <v>16</v>
      </c>
    </row>
    <row r="79" spans="1:30" s="19" customFormat="1" x14ac:dyDescent="0.25">
      <c r="A79" s="30" t="s">
        <v>78</v>
      </c>
      <c r="B79" s="21">
        <v>5.9951771124624598</v>
      </c>
      <c r="C79" s="37">
        <v>4.3454996613179263E-4</v>
      </c>
      <c r="D79" s="31">
        <v>5.9944978165938867</v>
      </c>
      <c r="E79" s="31">
        <v>5.9961764705882352</v>
      </c>
      <c r="F79" s="14">
        <v>21</v>
      </c>
      <c r="G79" s="24">
        <v>13.901138575503211</v>
      </c>
      <c r="H79" s="36">
        <v>0.444161227978982</v>
      </c>
      <c r="I79" s="32">
        <v>13.038793103448279</v>
      </c>
      <c r="J79" s="32">
        <v>14.775645756457561</v>
      </c>
      <c r="K79" s="15">
        <v>21</v>
      </c>
      <c r="L79" s="23">
        <v>31.822706906887323</v>
      </c>
      <c r="M79" s="38">
        <v>0.1228822304371497</v>
      </c>
      <c r="N79" s="33">
        <v>31.532103321033208</v>
      </c>
      <c r="O79" s="33">
        <v>32.02347826086956</v>
      </c>
      <c r="P79" s="16">
        <v>21</v>
      </c>
      <c r="Q79" s="25">
        <v>48.387760567196359</v>
      </c>
      <c r="R79" s="39">
        <v>19.283157173050739</v>
      </c>
      <c r="S79" s="34">
        <v>26.835111111111111</v>
      </c>
      <c r="T79" s="34">
        <v>86.137751004016053</v>
      </c>
      <c r="U79" s="17">
        <v>21</v>
      </c>
      <c r="V79" s="28">
        <v>51.47551813115696</v>
      </c>
      <c r="W79" s="40">
        <v>0.49045707581351267</v>
      </c>
      <c r="X79" s="35">
        <v>50.32435424354243</v>
      </c>
      <c r="Y79" s="35">
        <v>52.214782608695657</v>
      </c>
      <c r="Z79" s="18">
        <v>21</v>
      </c>
      <c r="AC79" s="42" t="s">
        <v>77</v>
      </c>
      <c r="AD79" s="18">
        <v>16</v>
      </c>
    </row>
    <row r="80" spans="1:30" s="19" customFormat="1" x14ac:dyDescent="0.25">
      <c r="A80" s="30" t="s">
        <v>79</v>
      </c>
      <c r="B80" s="21">
        <v>5.9952718804605531</v>
      </c>
      <c r="C80" s="37">
        <v>2.9275638097214443E-4</v>
      </c>
      <c r="D80" s="31">
        <v>5.9948120300751881</v>
      </c>
      <c r="E80" s="31">
        <v>5.9955514705882358</v>
      </c>
      <c r="F80" s="14">
        <v>5</v>
      </c>
      <c r="G80" s="24">
        <v>13.898584181282521</v>
      </c>
      <c r="H80" s="36">
        <v>0.68421898268960724</v>
      </c>
      <c r="I80" s="32">
        <v>13.11912568306011</v>
      </c>
      <c r="J80" s="32">
        <v>14.829411764705881</v>
      </c>
      <c r="K80" s="15">
        <v>5</v>
      </c>
      <c r="L80" s="23">
        <v>31.510574016888889</v>
      </c>
      <c r="M80" s="38">
        <v>0.78874131897477784</v>
      </c>
      <c r="N80" s="33">
        <v>30.101102941176471</v>
      </c>
      <c r="O80" s="33">
        <v>31.905000000000001</v>
      </c>
      <c r="P80" s="16">
        <v>5</v>
      </c>
      <c r="Q80" s="25">
        <v>46.322836280189392</v>
      </c>
      <c r="R80" s="39">
        <v>14.96585131755695</v>
      </c>
      <c r="S80" s="34">
        <v>29.603676470588237</v>
      </c>
      <c r="T80" s="34">
        <v>61.987218045112783</v>
      </c>
      <c r="U80" s="17">
        <v>5</v>
      </c>
      <c r="V80" s="28">
        <v>51.292982829179991</v>
      </c>
      <c r="W80" s="40">
        <v>0.55303798814864402</v>
      </c>
      <c r="X80" s="35">
        <v>50.320220588235294</v>
      </c>
      <c r="Y80" s="35">
        <v>51.655999999999992</v>
      </c>
      <c r="Z80" s="18">
        <v>5</v>
      </c>
      <c r="AC80" s="42" t="s">
        <v>40</v>
      </c>
      <c r="AD80" s="18">
        <v>15</v>
      </c>
    </row>
    <row r="81" spans="1:30" s="19" customFormat="1" x14ac:dyDescent="0.25">
      <c r="A81" s="30" t="s">
        <v>80</v>
      </c>
      <c r="B81" s="21">
        <v>4.7951977001115971</v>
      </c>
      <c r="C81" s="37">
        <v>4.3895947523050756E-4</v>
      </c>
      <c r="D81" s="31">
        <v>4.794438775510204</v>
      </c>
      <c r="E81" s="31">
        <v>4.7957798165137611</v>
      </c>
      <c r="F81" s="14">
        <v>14</v>
      </c>
      <c r="G81" s="24">
        <v>14.02358678543553</v>
      </c>
      <c r="H81" s="36">
        <v>0.67820778797542114</v>
      </c>
      <c r="I81" s="32">
        <v>12.978801843317971</v>
      </c>
      <c r="J81" s="32">
        <v>14.848068669527899</v>
      </c>
      <c r="K81" s="15">
        <v>14</v>
      </c>
      <c r="L81" s="23">
        <v>31.747780062864582</v>
      </c>
      <c r="M81" s="38">
        <v>0.1421518287932905</v>
      </c>
      <c r="N81" s="33">
        <v>31.451515151515149</v>
      </c>
      <c r="O81" s="33">
        <v>31.946082949308749</v>
      </c>
      <c r="P81" s="16">
        <v>14</v>
      </c>
      <c r="Q81" s="25">
        <v>46.210583734778119</v>
      </c>
      <c r="R81" s="39">
        <v>18.17633587835325</v>
      </c>
      <c r="S81" s="34">
        <v>28.31574074074074</v>
      </c>
      <c r="T81" s="34">
        <v>93.368137254901953</v>
      </c>
      <c r="U81" s="17">
        <v>14</v>
      </c>
      <c r="V81" s="28">
        <v>51.406419675210088</v>
      </c>
      <c r="W81" s="40">
        <v>0.47111123138279315</v>
      </c>
      <c r="X81" s="35">
        <v>50.378787878787882</v>
      </c>
      <c r="Y81" s="35">
        <v>52.18571428571429</v>
      </c>
      <c r="Z81" s="18">
        <v>14</v>
      </c>
      <c r="AC81" s="42" t="s">
        <v>41</v>
      </c>
      <c r="AD81" s="18">
        <v>15</v>
      </c>
    </row>
    <row r="82" spans="1:30" s="19" customFormat="1" x14ac:dyDescent="0.25">
      <c r="A82" s="30" t="s">
        <v>81</v>
      </c>
      <c r="B82" s="21">
        <v>4.7953368035924928</v>
      </c>
      <c r="C82" s="37">
        <v>5.3128342057254111E-4</v>
      </c>
      <c r="D82" s="31">
        <v>4.7947826086956518</v>
      </c>
      <c r="E82" s="31">
        <v>4.796176470588235</v>
      </c>
      <c r="F82" s="14">
        <v>5</v>
      </c>
      <c r="G82" s="24">
        <v>13.714095146252609</v>
      </c>
      <c r="H82" s="36">
        <v>0.72122938460334174</v>
      </c>
      <c r="I82" s="32">
        <v>13.04117647058823</v>
      </c>
      <c r="J82" s="32">
        <v>14.91906976744186</v>
      </c>
      <c r="K82" s="15">
        <v>5</v>
      </c>
      <c r="L82" s="23">
        <v>31.81206285424317</v>
      </c>
      <c r="M82" s="38">
        <v>6.1931436785369422E-2</v>
      </c>
      <c r="N82" s="33">
        <v>31.743478260869562</v>
      </c>
      <c r="O82" s="33">
        <v>31.877674418604652</v>
      </c>
      <c r="P82" s="16">
        <v>5</v>
      </c>
      <c r="Q82" s="25">
        <v>44.538849050649041</v>
      </c>
      <c r="R82" s="39">
        <v>13.10629717812618</v>
      </c>
      <c r="S82" s="34">
        <v>29.673429951690821</v>
      </c>
      <c r="T82" s="34">
        <v>54.976555023923446</v>
      </c>
      <c r="U82" s="17">
        <v>5</v>
      </c>
      <c r="V82" s="28">
        <v>51.582537271145704</v>
      </c>
      <c r="W82" s="40">
        <v>0.23218415213026419</v>
      </c>
      <c r="X82" s="35">
        <v>51.279710144927535</v>
      </c>
      <c r="Y82" s="35">
        <v>51.818604651162786</v>
      </c>
      <c r="Z82" s="18">
        <v>5</v>
      </c>
      <c r="AC82" s="42" t="s">
        <v>43</v>
      </c>
      <c r="AD82" s="18">
        <v>14</v>
      </c>
    </row>
    <row r="83" spans="1:30" x14ac:dyDescent="0.25">
      <c r="A83" s="30" t="s">
        <v>82</v>
      </c>
      <c r="B83" s="21">
        <v>7.1947887323943664</v>
      </c>
      <c r="C83" s="37">
        <v>0</v>
      </c>
      <c r="D83" s="31">
        <v>7.1947887323943664</v>
      </c>
      <c r="E83" s="31">
        <v>7.1947887323943664</v>
      </c>
      <c r="F83" s="14">
        <v>1</v>
      </c>
      <c r="G83" s="24">
        <v>11.04600938967136</v>
      </c>
      <c r="H83" s="36">
        <v>0</v>
      </c>
      <c r="I83" s="32">
        <v>11.04600938967136</v>
      </c>
      <c r="J83" s="32">
        <v>11.04600938967136</v>
      </c>
      <c r="K83" s="15">
        <v>1</v>
      </c>
      <c r="L83" s="23">
        <v>20.1849765258216</v>
      </c>
      <c r="M83" s="38">
        <v>0</v>
      </c>
      <c r="N83" s="33">
        <v>20.1849765258216</v>
      </c>
      <c r="O83" s="33">
        <v>20.1849765258216</v>
      </c>
      <c r="P83" s="16">
        <v>1</v>
      </c>
      <c r="Q83" s="25">
        <v>52.287323943661974</v>
      </c>
      <c r="R83" s="39">
        <v>0</v>
      </c>
      <c r="S83" s="34">
        <v>52.287323943661974</v>
      </c>
      <c r="T83" s="34">
        <v>52.287323943661974</v>
      </c>
      <c r="U83" s="17">
        <v>1</v>
      </c>
      <c r="V83" s="28">
        <v>28.098122065727701</v>
      </c>
      <c r="W83" s="40">
        <v>0</v>
      </c>
      <c r="X83" s="35">
        <v>28.098122065727701</v>
      </c>
      <c r="Y83" s="35">
        <v>28.098122065727701</v>
      </c>
      <c r="Z83" s="18">
        <v>1</v>
      </c>
      <c r="AC83" s="42" t="s">
        <v>80</v>
      </c>
      <c r="AD83" s="18">
        <v>14</v>
      </c>
    </row>
    <row r="84" spans="1:30" s="19" customFormat="1" x14ac:dyDescent="0.25">
      <c r="A84" s="30" t="s">
        <v>83</v>
      </c>
      <c r="B84" s="21">
        <v>7.1943689581095605</v>
      </c>
      <c r="C84" s="37">
        <v>8.5375116259252899E-4</v>
      </c>
      <c r="D84" s="31">
        <v>7.1932631578947372</v>
      </c>
      <c r="E84" s="31">
        <v>7.1952653061224483</v>
      </c>
      <c r="F84" s="14">
        <v>4</v>
      </c>
      <c r="G84" s="24">
        <v>11.416651748418669</v>
      </c>
      <c r="H84" s="36">
        <v>0.87013020580443978</v>
      </c>
      <c r="I84" s="32">
        <v>10.663157894736839</v>
      </c>
      <c r="J84" s="32">
        <v>12.27251461988304</v>
      </c>
      <c r="K84" s="15">
        <v>4</v>
      </c>
      <c r="L84" s="23">
        <v>20.264075665353861</v>
      </c>
      <c r="M84" s="38">
        <v>3.174906590537864E-2</v>
      </c>
      <c r="N84" s="33">
        <v>20.22448979591837</v>
      </c>
      <c r="O84" s="33">
        <v>20.29707602339181</v>
      </c>
      <c r="P84" s="16">
        <v>4</v>
      </c>
      <c r="Q84" s="25">
        <v>52.442112423916932</v>
      </c>
      <c r="R84" s="39">
        <v>22.228950917933467</v>
      </c>
      <c r="S84" s="34">
        <v>28.850204081632647</v>
      </c>
      <c r="T84" s="34">
        <v>82.361403508771929</v>
      </c>
      <c r="U84" s="17">
        <v>4</v>
      </c>
      <c r="V84" s="28">
        <v>28.43608634681943</v>
      </c>
      <c r="W84" s="40">
        <v>0.1907579631749369</v>
      </c>
      <c r="X84" s="35">
        <v>28.183625730994152</v>
      </c>
      <c r="Y84" s="35">
        <v>28.594210526315788</v>
      </c>
      <c r="Z84" s="18">
        <v>4</v>
      </c>
      <c r="AC84" s="42" t="s">
        <v>121</v>
      </c>
      <c r="AD84" s="18">
        <v>14</v>
      </c>
    </row>
    <row r="85" spans="1:30" s="19" customFormat="1" x14ac:dyDescent="0.25">
      <c r="A85" s="30" t="s">
        <v>84</v>
      </c>
      <c r="B85" s="21">
        <v>6.5950144733214691</v>
      </c>
      <c r="C85" s="37">
        <v>5.1924870460733313E-4</v>
      </c>
      <c r="D85" s="31">
        <v>6.5936888888888889</v>
      </c>
      <c r="E85" s="31">
        <v>6.5959069767441862</v>
      </c>
      <c r="F85" s="14">
        <v>28</v>
      </c>
      <c r="G85" s="24">
        <v>11.80909515111699</v>
      </c>
      <c r="H85" s="36">
        <v>0.56727452761971264</v>
      </c>
      <c r="I85" s="32">
        <v>10.61809045226131</v>
      </c>
      <c r="J85" s="32">
        <v>13.320192307692309</v>
      </c>
      <c r="K85" s="15">
        <v>28</v>
      </c>
      <c r="L85" s="23">
        <v>20.225408670029381</v>
      </c>
      <c r="M85" s="38">
        <v>0.1198678875229239</v>
      </c>
      <c r="N85" s="33">
        <v>19.93292181069959</v>
      </c>
      <c r="O85" s="33">
        <v>20.43434343434344</v>
      </c>
      <c r="P85" s="16">
        <v>28</v>
      </c>
      <c r="Q85" s="25">
        <v>46.590495154933521</v>
      </c>
      <c r="R85" s="39">
        <v>22.2784429871862</v>
      </c>
      <c r="S85" s="34">
        <v>25.909426229508199</v>
      </c>
      <c r="T85" s="34">
        <v>93.374242424242425</v>
      </c>
      <c r="U85" s="17">
        <v>28</v>
      </c>
      <c r="V85" s="28">
        <v>39.884084708417468</v>
      </c>
      <c r="W85" s="40">
        <v>0.42664417033705926</v>
      </c>
      <c r="X85" s="35">
        <v>38.890123456790121</v>
      </c>
      <c r="Y85" s="35">
        <v>40.603097345132738</v>
      </c>
      <c r="Z85" s="18">
        <v>28</v>
      </c>
      <c r="AC85" s="42" t="s">
        <v>124</v>
      </c>
      <c r="AD85" s="18">
        <v>12</v>
      </c>
    </row>
    <row r="86" spans="1:30" s="19" customFormat="1" x14ac:dyDescent="0.25">
      <c r="A86" s="30" t="s">
        <v>85</v>
      </c>
      <c r="B86" s="21">
        <v>6.5947635623188692</v>
      </c>
      <c r="C86" s="37">
        <v>4.3380146467525524E-4</v>
      </c>
      <c r="D86" s="31">
        <v>6.5939195979899496</v>
      </c>
      <c r="E86" s="31">
        <v>6.5957264957264954</v>
      </c>
      <c r="F86" s="14">
        <v>22</v>
      </c>
      <c r="G86" s="24">
        <v>11.620884403133511</v>
      </c>
      <c r="H86" s="36">
        <v>0.50271896751804879</v>
      </c>
      <c r="I86" s="32">
        <v>10.343775100401611</v>
      </c>
      <c r="J86" s="32">
        <v>12.15648535564854</v>
      </c>
      <c r="K86" s="15">
        <v>22</v>
      </c>
      <c r="L86" s="23">
        <v>20.25423392058665</v>
      </c>
      <c r="M86" s="38">
        <v>0.1037110782542828</v>
      </c>
      <c r="N86" s="33">
        <v>20.012987012987011</v>
      </c>
      <c r="O86" s="33">
        <v>20.385929648241198</v>
      </c>
      <c r="P86" s="16">
        <v>22</v>
      </c>
      <c r="Q86" s="25">
        <v>43.364817532116732</v>
      </c>
      <c r="R86" s="39">
        <v>16.80585559580819</v>
      </c>
      <c r="S86" s="34">
        <v>26.464655172413792</v>
      </c>
      <c r="T86" s="34">
        <v>86.092462311557796</v>
      </c>
      <c r="U86" s="17">
        <v>22</v>
      </c>
      <c r="V86" s="28">
        <v>39.943508752223657</v>
      </c>
      <c r="W86" s="40">
        <v>0.41400809280367612</v>
      </c>
      <c r="X86" s="35">
        <v>39.255411255411261</v>
      </c>
      <c r="Y86" s="35">
        <v>40.557522123893811</v>
      </c>
      <c r="Z86" s="18">
        <v>22</v>
      </c>
      <c r="AC86" s="42" t="s">
        <v>127</v>
      </c>
      <c r="AD86" s="18">
        <v>12</v>
      </c>
    </row>
    <row r="87" spans="1:30" s="19" customFormat="1" x14ac:dyDescent="0.25">
      <c r="A87" s="30" t="s">
        <v>86</v>
      </c>
      <c r="B87" s="21">
        <v>6.5943889657421115</v>
      </c>
      <c r="C87" s="37">
        <v>3.6619330532576826E-4</v>
      </c>
      <c r="D87" s="31">
        <v>6.5938888888888894</v>
      </c>
      <c r="E87" s="31">
        <v>6.5949504950495053</v>
      </c>
      <c r="F87" s="14">
        <v>7</v>
      </c>
      <c r="G87" s="24">
        <v>11.70563979740438</v>
      </c>
      <c r="H87" s="36">
        <v>0.50487961981398211</v>
      </c>
      <c r="I87" s="32">
        <v>10.75934959349593</v>
      </c>
      <c r="J87" s="32">
        <v>12.32349726775956</v>
      </c>
      <c r="K87" s="15">
        <v>7</v>
      </c>
      <c r="L87" s="23">
        <v>18.249141889669723</v>
      </c>
      <c r="M87" s="38">
        <v>8.3333655724717556E-2</v>
      </c>
      <c r="N87" s="33">
        <v>18.158130081300811</v>
      </c>
      <c r="O87" s="33">
        <v>18.387128712871291</v>
      </c>
      <c r="P87" s="16">
        <v>7</v>
      </c>
      <c r="Q87" s="25">
        <v>49.600540336623922</v>
      </c>
      <c r="R87" s="39">
        <v>27.577897004930048</v>
      </c>
      <c r="S87" s="34">
        <v>28.879797979797978</v>
      </c>
      <c r="T87" s="34">
        <v>91.590163934426229</v>
      </c>
      <c r="U87" s="17">
        <v>7</v>
      </c>
      <c r="V87" s="28">
        <v>51.546174887501159</v>
      </c>
      <c r="W87" s="40">
        <v>0.33610654016265651</v>
      </c>
      <c r="X87" s="35">
        <v>51.148633879781421</v>
      </c>
      <c r="Y87" s="35">
        <v>52.166831683168311</v>
      </c>
      <c r="Z87" s="18">
        <v>7</v>
      </c>
      <c r="AC87" s="42" t="s">
        <v>137</v>
      </c>
      <c r="AD87" s="18">
        <v>12</v>
      </c>
    </row>
    <row r="88" spans="1:30" s="19" customFormat="1" x14ac:dyDescent="0.25">
      <c r="A88" s="30" t="s">
        <v>87</v>
      </c>
      <c r="B88" s="21">
        <v>11.873462681298481</v>
      </c>
      <c r="C88" s="37">
        <v>1.225278494840189E-3</v>
      </c>
      <c r="D88" s="31">
        <v>11.87040816326531</v>
      </c>
      <c r="E88" s="31">
        <v>11.876505576208181</v>
      </c>
      <c r="F88" s="14">
        <v>101</v>
      </c>
      <c r="G88" s="24">
        <v>10.0675733925274</v>
      </c>
      <c r="H88" s="36">
        <v>0.5725157721136459</v>
      </c>
      <c r="I88" s="32">
        <v>8.8542510121457489</v>
      </c>
      <c r="J88" s="32">
        <v>12.092499999999999</v>
      </c>
      <c r="K88" s="15">
        <v>101</v>
      </c>
      <c r="L88" s="23">
        <v>10.49415972907536</v>
      </c>
      <c r="M88" s="38">
        <v>3.9276755304942651E-2</v>
      </c>
      <c r="N88" s="33">
        <v>10.4</v>
      </c>
      <c r="O88" s="33">
        <v>10.6</v>
      </c>
      <c r="P88" s="16">
        <v>101</v>
      </c>
      <c r="Q88" s="25">
        <v>53.364198196216478</v>
      </c>
      <c r="R88" s="39">
        <v>21.623932163489229</v>
      </c>
      <c r="S88" s="34">
        <v>28.582142857142863</v>
      </c>
      <c r="T88" s="34">
        <v>96.324022346368707</v>
      </c>
      <c r="U88" s="17">
        <v>101</v>
      </c>
      <c r="V88" s="28">
        <v>5.3319202502222804</v>
      </c>
      <c r="W88" s="40">
        <v>0.27887474272962048</v>
      </c>
      <c r="X88" s="35">
        <v>4.5741935483870968</v>
      </c>
      <c r="Y88" s="35">
        <v>5.7967213114754106</v>
      </c>
      <c r="Z88" s="18">
        <v>101</v>
      </c>
      <c r="AC88" s="42" t="s">
        <v>110</v>
      </c>
      <c r="AD88" s="18">
        <v>11</v>
      </c>
    </row>
    <row r="89" spans="1:30" s="19" customFormat="1" x14ac:dyDescent="0.25">
      <c r="A89" s="30" t="s">
        <v>88</v>
      </c>
      <c r="B89" s="21">
        <v>10.19414905757287</v>
      </c>
      <c r="C89" s="37">
        <v>7.5102335959776017E-4</v>
      </c>
      <c r="D89" s="31">
        <v>10.19248062015504</v>
      </c>
      <c r="E89" s="31">
        <v>10.19619246861925</v>
      </c>
      <c r="F89" s="14">
        <v>46</v>
      </c>
      <c r="G89" s="24">
        <v>9.7076214025660885</v>
      </c>
      <c r="H89" s="36">
        <v>0.53111545325936127</v>
      </c>
      <c r="I89" s="32">
        <v>8.379999999999999</v>
      </c>
      <c r="J89" s="32">
        <v>10.925000000000001</v>
      </c>
      <c r="K89" s="15">
        <v>46</v>
      </c>
      <c r="L89" s="23">
        <v>14.645637180292999</v>
      </c>
      <c r="M89" s="38">
        <v>6.0124315327640884E-2</v>
      </c>
      <c r="N89" s="33">
        <v>14.501158301158302</v>
      </c>
      <c r="O89" s="33">
        <v>14.757142857142862</v>
      </c>
      <c r="P89" s="16">
        <v>46</v>
      </c>
      <c r="Q89" s="25">
        <v>45.45479626311397</v>
      </c>
      <c r="R89" s="39">
        <v>14.815983790056311</v>
      </c>
      <c r="S89" s="34">
        <v>26.15532786885246</v>
      </c>
      <c r="T89" s="34">
        <v>78.775416666666672</v>
      </c>
      <c r="U89" s="17">
        <v>46</v>
      </c>
      <c r="V89" s="28">
        <v>16.799185645747208</v>
      </c>
      <c r="W89" s="40">
        <v>0.39563859713723282</v>
      </c>
      <c r="X89" s="35">
        <v>15.873359073359069</v>
      </c>
      <c r="Y89" s="35">
        <v>17.517829457364339</v>
      </c>
      <c r="Z89" s="18">
        <v>46</v>
      </c>
      <c r="AC89" s="42" t="s">
        <v>134</v>
      </c>
      <c r="AD89" s="18">
        <v>11</v>
      </c>
    </row>
    <row r="90" spans="1:30" s="19" customFormat="1" x14ac:dyDescent="0.25">
      <c r="A90" s="30" t="s">
        <v>89</v>
      </c>
      <c r="B90" s="21">
        <v>10.19424289587522</v>
      </c>
      <c r="C90" s="37">
        <v>9.972385112662983E-4</v>
      </c>
      <c r="D90" s="31">
        <v>10.191551724137931</v>
      </c>
      <c r="E90" s="31">
        <v>10.196839080459769</v>
      </c>
      <c r="F90" s="14">
        <v>120</v>
      </c>
      <c r="G90" s="24">
        <v>9.5751071063940039</v>
      </c>
      <c r="H90" s="36">
        <v>0.45556400812409609</v>
      </c>
      <c r="I90" s="32">
        <v>8.4711297071129703</v>
      </c>
      <c r="J90" s="32">
        <v>10.76342412451362</v>
      </c>
      <c r="K90" s="15">
        <v>120</v>
      </c>
      <c r="L90" s="23">
        <v>14.64807695292399</v>
      </c>
      <c r="M90" s="38">
        <v>5.9040635144715969E-2</v>
      </c>
      <c r="N90" s="33">
        <v>14.489714285714291</v>
      </c>
      <c r="O90" s="33">
        <v>14.73115384615385</v>
      </c>
      <c r="P90" s="16">
        <v>120</v>
      </c>
      <c r="Q90" s="25">
        <v>42.505530526709023</v>
      </c>
      <c r="R90" s="39">
        <v>17.21891473373687</v>
      </c>
      <c r="S90" s="34">
        <v>24.117748917748919</v>
      </c>
      <c r="T90" s="34">
        <v>84.903501945525292</v>
      </c>
      <c r="U90" s="17">
        <v>120</v>
      </c>
      <c r="V90" s="28">
        <v>16.841951803277063</v>
      </c>
      <c r="W90" s="40">
        <v>0.37796851274699689</v>
      </c>
      <c r="X90" s="35">
        <v>15.811718750000001</v>
      </c>
      <c r="Y90" s="35">
        <v>17.431147540983609</v>
      </c>
      <c r="Z90" s="18">
        <v>120</v>
      </c>
      <c r="AC90" s="42" t="s">
        <v>22</v>
      </c>
      <c r="AD90" s="18">
        <v>10</v>
      </c>
    </row>
    <row r="91" spans="1:30" s="19" customFormat="1" x14ac:dyDescent="0.25">
      <c r="A91" s="30" t="s">
        <v>90</v>
      </c>
      <c r="B91" s="21">
        <v>8.394709764861652</v>
      </c>
      <c r="C91" s="37">
        <v>6.6632769533425825E-4</v>
      </c>
      <c r="D91" s="31">
        <v>8.3931073446327691</v>
      </c>
      <c r="E91" s="31">
        <v>8.3962447257383968</v>
      </c>
      <c r="F91" s="14">
        <v>78</v>
      </c>
      <c r="G91" s="24">
        <v>9.6430523518296489</v>
      </c>
      <c r="H91" s="36">
        <v>0.50236332985340604</v>
      </c>
      <c r="I91" s="32">
        <v>8.6781725888324868</v>
      </c>
      <c r="J91" s="32">
        <v>10.540969162995591</v>
      </c>
      <c r="K91" s="15">
        <v>78</v>
      </c>
      <c r="L91" s="23">
        <v>16.677466821490832</v>
      </c>
      <c r="M91" s="38">
        <v>0.14523774481514021</v>
      </c>
      <c r="N91" s="33">
        <v>15.997175141242939</v>
      </c>
      <c r="O91" s="33">
        <v>16.871052631578952</v>
      </c>
      <c r="P91" s="16">
        <v>78</v>
      </c>
      <c r="Q91" s="25">
        <v>43.971833026761132</v>
      </c>
      <c r="R91" s="39">
        <v>17.80603701673822</v>
      </c>
      <c r="S91" s="34">
        <v>25.44232804232804</v>
      </c>
      <c r="T91" s="34">
        <v>83.542857142857144</v>
      </c>
      <c r="U91" s="17">
        <v>78</v>
      </c>
      <c r="V91" s="28">
        <v>28.336636571059039</v>
      </c>
      <c r="W91" s="40">
        <v>0.36925762866060879</v>
      </c>
      <c r="X91" s="35">
        <v>27.263713080168781</v>
      </c>
      <c r="Y91" s="35">
        <v>29.022978723404247</v>
      </c>
      <c r="Z91" s="18">
        <v>78</v>
      </c>
      <c r="AC91" s="42" t="s">
        <v>33</v>
      </c>
      <c r="AD91" s="18">
        <v>10</v>
      </c>
    </row>
    <row r="92" spans="1:30" x14ac:dyDescent="0.25">
      <c r="A92" s="30" t="s">
        <v>91</v>
      </c>
      <c r="B92" s="21">
        <v>7.1948790535755904</v>
      </c>
      <c r="C92" s="37">
        <v>5.8196828281017934E-4</v>
      </c>
      <c r="D92" s="31">
        <v>7.1936170212765953</v>
      </c>
      <c r="E92" s="31">
        <v>7.196682692307693</v>
      </c>
      <c r="F92" s="14">
        <v>162</v>
      </c>
      <c r="G92" s="24">
        <v>9.7338871247764125</v>
      </c>
      <c r="H92" s="36">
        <v>0.50776846381720564</v>
      </c>
      <c r="I92" s="32">
        <v>8.5119658119658119</v>
      </c>
      <c r="J92" s="32">
        <v>10.49702127659574</v>
      </c>
      <c r="K92" s="15">
        <v>162</v>
      </c>
      <c r="L92" s="23">
        <v>16.692558376125351</v>
      </c>
      <c r="M92" s="38">
        <v>0.2176062315969213</v>
      </c>
      <c r="N92" s="33">
        <v>14.967567567567571</v>
      </c>
      <c r="O92" s="33">
        <v>16.891629955947142</v>
      </c>
      <c r="P92" s="16">
        <v>162</v>
      </c>
      <c r="Q92" s="25">
        <v>41.88345390606559</v>
      </c>
      <c r="R92" s="39">
        <v>16.470784851940557</v>
      </c>
      <c r="S92" s="34">
        <v>25.136994219653182</v>
      </c>
      <c r="T92" s="34">
        <v>84.321585903083701</v>
      </c>
      <c r="U92" s="17">
        <v>162</v>
      </c>
      <c r="V92" s="28">
        <v>28.425429601072011</v>
      </c>
      <c r="W92" s="40">
        <v>0.35495594134727682</v>
      </c>
      <c r="X92" s="35">
        <v>27.29831460674157</v>
      </c>
      <c r="Y92" s="35">
        <v>29.018518518518523</v>
      </c>
      <c r="Z92" s="18">
        <v>162</v>
      </c>
      <c r="AC92" s="42" t="s">
        <v>51</v>
      </c>
      <c r="AD92" s="18">
        <v>10</v>
      </c>
    </row>
    <row r="93" spans="1:30" s="19" customFormat="1" x14ac:dyDescent="0.25">
      <c r="A93" s="30" t="s">
        <v>92</v>
      </c>
      <c r="B93" s="21">
        <v>5.9105905369442837</v>
      </c>
      <c r="C93" s="37">
        <v>0.18350745892118328</v>
      </c>
      <c r="D93" s="31">
        <v>5.5143169398907101</v>
      </c>
      <c r="E93" s="31">
        <v>5.9970165745856354</v>
      </c>
      <c r="F93" s="14">
        <v>238</v>
      </c>
      <c r="G93" s="24">
        <v>9.9135161088607155</v>
      </c>
      <c r="H93" s="36">
        <v>0.41224285670372557</v>
      </c>
      <c r="I93" s="32">
        <v>7.8347826086956518</v>
      </c>
      <c r="J93" s="32">
        <v>13.005283018867932</v>
      </c>
      <c r="K93" s="15">
        <v>238</v>
      </c>
      <c r="L93" s="23">
        <v>14.228789341458031</v>
      </c>
      <c r="M93" s="38">
        <v>9.6294400052176918E-2</v>
      </c>
      <c r="N93" s="33">
        <v>13.95418719211823</v>
      </c>
      <c r="O93" s="33">
        <v>14.465079365079358</v>
      </c>
      <c r="P93" s="16">
        <v>238</v>
      </c>
      <c r="Q93" s="25">
        <v>40.039530298998748</v>
      </c>
      <c r="R93" s="39">
        <v>14.47467672361555</v>
      </c>
      <c r="S93" s="34">
        <v>24.903243243243239</v>
      </c>
      <c r="T93" s="34">
        <v>83.900995024875627</v>
      </c>
      <c r="U93" s="17">
        <v>238</v>
      </c>
      <c r="V93" s="28">
        <v>40.048783110477409</v>
      </c>
      <c r="W93" s="40">
        <v>0.39361814005494372</v>
      </c>
      <c r="X93" s="35">
        <v>39.011111111111106</v>
      </c>
      <c r="Y93" s="35">
        <v>40.664550264550257</v>
      </c>
      <c r="Z93" s="18">
        <v>238</v>
      </c>
      <c r="AC93" s="42" t="s">
        <v>38</v>
      </c>
      <c r="AD93" s="18">
        <v>9</v>
      </c>
    </row>
    <row r="94" spans="1:30" s="19" customFormat="1" x14ac:dyDescent="0.25">
      <c r="A94" s="30" t="s">
        <v>93</v>
      </c>
      <c r="B94" s="21">
        <v>5.9952650107515106</v>
      </c>
      <c r="C94" s="37">
        <v>6.5622510683201228E-4</v>
      </c>
      <c r="D94" s="31">
        <v>5.9928915662650608</v>
      </c>
      <c r="E94" s="31">
        <v>5.9973743016759773</v>
      </c>
      <c r="F94" s="14">
        <v>374</v>
      </c>
      <c r="G94" s="24">
        <v>10.5298590319256</v>
      </c>
      <c r="H94" s="36">
        <v>0.46465155004497249</v>
      </c>
      <c r="I94" s="32">
        <v>8.539055793991416</v>
      </c>
      <c r="J94" s="32">
        <v>11.26520146520147</v>
      </c>
      <c r="K94" s="15">
        <v>374</v>
      </c>
      <c r="L94" s="23">
        <v>16.210403504752527</v>
      </c>
      <c r="M94" s="38">
        <v>0.10804144927915571</v>
      </c>
      <c r="N94" s="33">
        <v>15.906703910614519</v>
      </c>
      <c r="O94" s="33">
        <v>16.43732876712329</v>
      </c>
      <c r="P94" s="16">
        <v>374</v>
      </c>
      <c r="Q94" s="25">
        <v>48.188154507827946</v>
      </c>
      <c r="R94" s="39">
        <v>21.523385547498211</v>
      </c>
      <c r="S94" s="34">
        <v>26.158787878787884</v>
      </c>
      <c r="T94" s="34">
        <v>89.821285140562253</v>
      </c>
      <c r="U94" s="17">
        <v>374</v>
      </c>
      <c r="V94" s="28">
        <v>51.417851857011456</v>
      </c>
      <c r="W94" s="40">
        <v>0.40573246063883089</v>
      </c>
      <c r="X94" s="35">
        <v>50.308938547486029</v>
      </c>
      <c r="Y94" s="35">
        <v>52.241638225255976</v>
      </c>
      <c r="Z94" s="18">
        <v>374</v>
      </c>
      <c r="AC94" s="42" t="s">
        <v>32</v>
      </c>
      <c r="AD94" s="18">
        <v>8</v>
      </c>
    </row>
    <row r="95" spans="1:30" s="19" customFormat="1" x14ac:dyDescent="0.25">
      <c r="A95" s="30" t="s">
        <v>94</v>
      </c>
      <c r="B95" s="21">
        <v>5.9952326846001265</v>
      </c>
      <c r="C95" s="37">
        <v>7.268387818000295E-4</v>
      </c>
      <c r="D95" s="31">
        <v>5.9919277108433731</v>
      </c>
      <c r="E95" s="31">
        <v>5.9978735632183904</v>
      </c>
      <c r="F95" s="14">
        <v>638</v>
      </c>
      <c r="G95" s="24">
        <v>11.451319284663709</v>
      </c>
      <c r="H95" s="36">
        <v>0.51888971290183572</v>
      </c>
      <c r="I95" s="32">
        <v>8.9890710382513657</v>
      </c>
      <c r="J95" s="32">
        <v>12.558955223880599</v>
      </c>
      <c r="K95" s="15">
        <v>638</v>
      </c>
      <c r="L95" s="23">
        <v>18.201766075741929</v>
      </c>
      <c r="M95" s="38">
        <v>0.26670209867993888</v>
      </c>
      <c r="N95" s="33">
        <v>12.06853448275862</v>
      </c>
      <c r="O95" s="33">
        <v>18.471365638766521</v>
      </c>
      <c r="P95" s="16">
        <v>638</v>
      </c>
      <c r="Q95" s="25">
        <v>45.751487242500289</v>
      </c>
      <c r="R95" s="39">
        <v>18.421081288767532</v>
      </c>
      <c r="S95" s="34">
        <v>26.603977272727271</v>
      </c>
      <c r="T95" s="34">
        <v>93.869955156950681</v>
      </c>
      <c r="U95" s="17">
        <v>638</v>
      </c>
      <c r="V95" s="28">
        <v>51.390922279445462</v>
      </c>
      <c r="W95" s="40">
        <v>0.42162094856784871</v>
      </c>
      <c r="X95" s="35">
        <v>50.235059760956183</v>
      </c>
      <c r="Y95" s="35">
        <v>52.24863945578231</v>
      </c>
      <c r="Z95" s="18">
        <v>638</v>
      </c>
      <c r="AC95" s="42" t="s">
        <v>39</v>
      </c>
      <c r="AD95" s="18">
        <v>8</v>
      </c>
    </row>
    <row r="96" spans="1:30" s="19" customFormat="1" x14ac:dyDescent="0.25">
      <c r="A96" s="30" t="s">
        <v>95</v>
      </c>
      <c r="B96" s="21">
        <v>11.873462977026771</v>
      </c>
      <c r="C96" s="37">
        <v>6.9797762585744997E-4</v>
      </c>
      <c r="D96" s="31">
        <v>11.872969432314409</v>
      </c>
      <c r="E96" s="31">
        <v>11.87395652173913</v>
      </c>
      <c r="F96" s="14">
        <v>2</v>
      </c>
      <c r="G96" s="24">
        <v>9.9799164609834818</v>
      </c>
      <c r="H96" s="36">
        <v>0.30878562388462288</v>
      </c>
      <c r="I96" s="32">
        <v>9.7615720524017462</v>
      </c>
      <c r="J96" s="32">
        <v>10.198260869565221</v>
      </c>
      <c r="K96" s="15">
        <v>2</v>
      </c>
      <c r="L96" s="23">
        <v>10.50152838427948</v>
      </c>
      <c r="M96" s="38">
        <v>2.16146177655259E-3</v>
      </c>
      <c r="N96" s="33">
        <v>10.5</v>
      </c>
      <c r="O96" s="33">
        <v>10.503056768558951</v>
      </c>
      <c r="P96" s="16">
        <v>2</v>
      </c>
      <c r="Q96" s="25">
        <v>32.337538446933742</v>
      </c>
      <c r="R96" s="39">
        <v>0.18405585414910169</v>
      </c>
      <c r="S96" s="34">
        <v>32.20739130434783</v>
      </c>
      <c r="T96" s="34">
        <v>32.467685589519654</v>
      </c>
      <c r="U96" s="17">
        <v>2</v>
      </c>
      <c r="V96" s="28">
        <v>5.515005695842035</v>
      </c>
      <c r="W96" s="40">
        <v>1.7515895527132321E-2</v>
      </c>
      <c r="X96" s="35">
        <v>5.5026200873362452</v>
      </c>
      <c r="Y96" s="35">
        <v>5.5273913043478258</v>
      </c>
      <c r="Z96" s="18">
        <v>2</v>
      </c>
      <c r="AC96" s="42" t="s">
        <v>104</v>
      </c>
      <c r="AD96" s="18">
        <v>8</v>
      </c>
    </row>
    <row r="97" spans="1:30" s="19" customFormat="1" x14ac:dyDescent="0.25">
      <c r="A97" s="30" t="s">
        <v>96</v>
      </c>
      <c r="B97" s="21">
        <v>10.1942516835996</v>
      </c>
      <c r="C97" s="37">
        <v>3.5735423490849754E-4</v>
      </c>
      <c r="D97" s="31">
        <v>10.19392156862745</v>
      </c>
      <c r="E97" s="31">
        <v>10.19463114754098</v>
      </c>
      <c r="F97" s="14">
        <v>3</v>
      </c>
      <c r="G97" s="24">
        <v>9.9886144891500415</v>
      </c>
      <c r="H97" s="36">
        <v>0.78772150111495409</v>
      </c>
      <c r="I97" s="32">
        <v>9.4684824902723737</v>
      </c>
      <c r="J97" s="32">
        <v>10.89490196078431</v>
      </c>
      <c r="K97" s="15">
        <v>3</v>
      </c>
      <c r="L97" s="23">
        <v>14.637518338967919</v>
      </c>
      <c r="M97" s="38">
        <v>0.11000082548744709</v>
      </c>
      <c r="N97" s="33">
        <v>14.510505836575879</v>
      </c>
      <c r="O97" s="33">
        <v>14.702049180327871</v>
      </c>
      <c r="P97" s="16">
        <v>3</v>
      </c>
      <c r="Q97" s="25">
        <v>40.410627414708941</v>
      </c>
      <c r="R97" s="39">
        <v>15.188294393687539</v>
      </c>
      <c r="S97" s="34">
        <v>26.877431906614788</v>
      </c>
      <c r="T97" s="34">
        <v>56.837647058823528</v>
      </c>
      <c r="U97" s="17">
        <v>3</v>
      </c>
      <c r="V97" s="28">
        <v>16.965851046931498</v>
      </c>
      <c r="W97" s="40">
        <v>0.73132951900688803</v>
      </c>
      <c r="X97" s="35">
        <v>16.12140077821012</v>
      </c>
      <c r="Y97" s="35">
        <v>17.392622950819671</v>
      </c>
      <c r="Z97" s="18">
        <v>3</v>
      </c>
      <c r="AC97" s="42" t="s">
        <v>34</v>
      </c>
      <c r="AD97" s="18">
        <v>7</v>
      </c>
    </row>
    <row r="98" spans="1:30" s="19" customFormat="1" x14ac:dyDescent="0.25">
      <c r="A98" s="30" t="s">
        <v>97</v>
      </c>
      <c r="B98" s="21">
        <v>10.19495889658557</v>
      </c>
      <c r="C98" s="37">
        <v>8.0362280597363292E-4</v>
      </c>
      <c r="D98" s="31">
        <v>10.19411016949153</v>
      </c>
      <c r="E98" s="31">
        <v>10.195708154506439</v>
      </c>
      <c r="F98" s="14">
        <v>3</v>
      </c>
      <c r="G98" s="24">
        <v>9.3469052415350706</v>
      </c>
      <c r="H98" s="36">
        <v>0.28792093196532809</v>
      </c>
      <c r="I98" s="32">
        <v>9.1254237288135602</v>
      </c>
      <c r="J98" s="32">
        <v>9.6723735408560323</v>
      </c>
      <c r="K98" s="15">
        <v>3</v>
      </c>
      <c r="L98" s="23">
        <v>14.434590419303371</v>
      </c>
      <c r="M98" s="38">
        <v>0.38684449138010391</v>
      </c>
      <c r="N98" s="33">
        <v>13.992607003891049</v>
      </c>
      <c r="O98" s="33">
        <v>14.71158798283262</v>
      </c>
      <c r="P98" s="16">
        <v>3</v>
      </c>
      <c r="Q98" s="25">
        <v>59.983467037779349</v>
      </c>
      <c r="R98" s="39">
        <v>20.46375771220837</v>
      </c>
      <c r="S98" s="34">
        <v>38.644357976653701</v>
      </c>
      <c r="T98" s="34">
        <v>79.442060085836914</v>
      </c>
      <c r="U98" s="17">
        <v>3</v>
      </c>
      <c r="V98" s="28">
        <v>16.727689104577188</v>
      </c>
      <c r="W98" s="40">
        <v>0.33908440578177551</v>
      </c>
      <c r="X98" s="35">
        <v>16.392796610169491</v>
      </c>
      <c r="Y98" s="35">
        <v>17.070815450643781</v>
      </c>
      <c r="Z98" s="18">
        <v>3</v>
      </c>
      <c r="AC98" s="42" t="s">
        <v>45</v>
      </c>
      <c r="AD98" s="18">
        <v>7</v>
      </c>
    </row>
    <row r="99" spans="1:30" x14ac:dyDescent="0.25">
      <c r="A99" s="30" t="s">
        <v>98</v>
      </c>
      <c r="B99" s="21">
        <v>8.3957575757575764</v>
      </c>
      <c r="C99" s="37">
        <v>0</v>
      </c>
      <c r="D99" s="31">
        <v>8.3957575757575764</v>
      </c>
      <c r="E99" s="31">
        <v>8.3957575757575764</v>
      </c>
      <c r="F99" s="14">
        <v>1</v>
      </c>
      <c r="G99" s="24">
        <v>11.07878787878788</v>
      </c>
      <c r="H99" s="36">
        <v>0</v>
      </c>
      <c r="I99" s="32">
        <v>11.07878787878788</v>
      </c>
      <c r="J99" s="32">
        <v>11.07878787878788</v>
      </c>
      <c r="K99" s="15">
        <v>1</v>
      </c>
      <c r="L99" s="23">
        <v>16.17012987012987</v>
      </c>
      <c r="M99" s="38">
        <v>0</v>
      </c>
      <c r="N99" s="33">
        <v>16.17012987012987</v>
      </c>
      <c r="O99" s="33">
        <v>16.17012987012987</v>
      </c>
      <c r="P99" s="16">
        <v>1</v>
      </c>
      <c r="Q99" s="25">
        <v>55.734632034632035</v>
      </c>
      <c r="R99" s="39">
        <v>0</v>
      </c>
      <c r="S99" s="34">
        <v>55.734632034632035</v>
      </c>
      <c r="T99" s="34">
        <v>55.734632034632035</v>
      </c>
      <c r="U99" s="17">
        <v>1</v>
      </c>
      <c r="V99" s="28">
        <v>28.92164502164502</v>
      </c>
      <c r="W99" s="40">
        <v>0</v>
      </c>
      <c r="X99" s="35">
        <v>28.92164502164502</v>
      </c>
      <c r="Y99" s="35">
        <v>28.92164502164502</v>
      </c>
      <c r="Z99" s="18">
        <v>1</v>
      </c>
      <c r="AC99" s="42" t="s">
        <v>46</v>
      </c>
      <c r="AD99" s="18">
        <v>7</v>
      </c>
    </row>
    <row r="100" spans="1:30" s="19" customFormat="1" x14ac:dyDescent="0.25">
      <c r="A100" s="30" t="s">
        <v>99</v>
      </c>
      <c r="B100" s="21">
        <v>8.3950884955752212</v>
      </c>
      <c r="C100" s="37">
        <v>0</v>
      </c>
      <c r="D100" s="31">
        <v>8.3950884955752212</v>
      </c>
      <c r="E100" s="31">
        <v>8.3950884955752212</v>
      </c>
      <c r="F100" s="14">
        <v>1</v>
      </c>
      <c r="G100" s="24">
        <v>9.610619469026549</v>
      </c>
      <c r="H100" s="36">
        <v>0</v>
      </c>
      <c r="I100" s="32">
        <v>9.610619469026549</v>
      </c>
      <c r="J100" s="32">
        <v>9.610619469026549</v>
      </c>
      <c r="K100" s="15">
        <v>1</v>
      </c>
      <c r="L100" s="23">
        <v>16.7</v>
      </c>
      <c r="M100" s="38">
        <v>0</v>
      </c>
      <c r="N100" s="33">
        <v>16.7</v>
      </c>
      <c r="O100" s="33">
        <v>16.7</v>
      </c>
      <c r="P100" s="16">
        <v>1</v>
      </c>
      <c r="Q100" s="25">
        <v>28.471681415929204</v>
      </c>
      <c r="R100" s="39">
        <v>0</v>
      </c>
      <c r="S100" s="34">
        <v>28.471681415929204</v>
      </c>
      <c r="T100" s="34">
        <v>28.471681415929204</v>
      </c>
      <c r="U100" s="17">
        <v>1</v>
      </c>
      <c r="V100" s="28">
        <v>28.44867256637168</v>
      </c>
      <c r="W100" s="40">
        <v>0</v>
      </c>
      <c r="X100" s="35">
        <v>28.44867256637168</v>
      </c>
      <c r="Y100" s="35">
        <v>28.44867256637168</v>
      </c>
      <c r="Z100" s="18">
        <v>1</v>
      </c>
      <c r="AC100" s="42" t="s">
        <v>86</v>
      </c>
      <c r="AD100" s="18">
        <v>7</v>
      </c>
    </row>
    <row r="101" spans="1:30" s="19" customFormat="1" x14ac:dyDescent="0.25">
      <c r="A101" s="30" t="s">
        <v>100</v>
      </c>
      <c r="B101" s="21">
        <v>6.5948177888624526</v>
      </c>
      <c r="C101" s="37">
        <v>1.038482759584086</v>
      </c>
      <c r="D101" s="31">
        <v>5.9950704225352114</v>
      </c>
      <c r="E101" s="31">
        <v>7.793954372623574</v>
      </c>
      <c r="F101" s="14">
        <v>3</v>
      </c>
      <c r="G101" s="24">
        <v>10.00049750370167</v>
      </c>
      <c r="H101" s="36">
        <v>0.31155626274990661</v>
      </c>
      <c r="I101" s="32">
        <v>9.649429657794677</v>
      </c>
      <c r="J101" s="32">
        <v>10.24408163265306</v>
      </c>
      <c r="K101" s="15">
        <v>3</v>
      </c>
      <c r="L101" s="23">
        <v>15.091106474686132</v>
      </c>
      <c r="M101" s="38">
        <v>1.4649608143421351</v>
      </c>
      <c r="N101" s="33">
        <v>14.19673469387755</v>
      </c>
      <c r="O101" s="33">
        <v>16.78174904942966</v>
      </c>
      <c r="P101" s="16">
        <v>3</v>
      </c>
      <c r="Q101" s="25">
        <v>30.509782774138948</v>
      </c>
      <c r="R101" s="39">
        <v>2.6810898201722511</v>
      </c>
      <c r="S101" s="34">
        <v>27.50038022813688</v>
      </c>
      <c r="T101" s="34">
        <v>32.643661971830987</v>
      </c>
      <c r="U101" s="17">
        <v>3</v>
      </c>
      <c r="V101" s="28">
        <v>40.169610808674861</v>
      </c>
      <c r="W101" s="40">
        <v>0.2860891393471785</v>
      </c>
      <c r="X101" s="35">
        <v>39.965306122448979</v>
      </c>
      <c r="Y101" s="35">
        <v>40.496577946768056</v>
      </c>
      <c r="Z101" s="18">
        <v>3</v>
      </c>
      <c r="AC101" s="42" t="s">
        <v>106</v>
      </c>
      <c r="AD101" s="18">
        <v>6</v>
      </c>
    </row>
    <row r="102" spans="1:30" s="19" customFormat="1" x14ac:dyDescent="0.25">
      <c r="A102" s="30" t="s">
        <v>101</v>
      </c>
      <c r="B102" s="21">
        <v>5.995541666666667</v>
      </c>
      <c r="C102" s="37">
        <v>0</v>
      </c>
      <c r="D102" s="31">
        <v>5.995541666666667</v>
      </c>
      <c r="E102" s="31">
        <v>5.995541666666667</v>
      </c>
      <c r="F102" s="14">
        <v>1</v>
      </c>
      <c r="G102" s="24">
        <v>10.516666666666669</v>
      </c>
      <c r="H102" s="36">
        <v>0</v>
      </c>
      <c r="I102" s="32">
        <v>10.516666666666669</v>
      </c>
      <c r="J102" s="32">
        <v>10.516666666666669</v>
      </c>
      <c r="K102" s="15">
        <v>1</v>
      </c>
      <c r="L102" s="23">
        <v>16.317916666666669</v>
      </c>
      <c r="M102" s="38">
        <v>0</v>
      </c>
      <c r="N102" s="33">
        <v>16.317916666666669</v>
      </c>
      <c r="O102" s="33">
        <v>16.317916666666669</v>
      </c>
      <c r="P102" s="16">
        <v>1</v>
      </c>
      <c r="Q102" s="26">
        <v>30.47</v>
      </c>
      <c r="R102" s="39">
        <v>0</v>
      </c>
      <c r="S102" s="34">
        <v>30.47</v>
      </c>
      <c r="T102" s="34">
        <v>30.47</v>
      </c>
      <c r="U102" s="17">
        <v>1</v>
      </c>
      <c r="V102" s="28">
        <v>51.653333333333329</v>
      </c>
      <c r="W102" s="40">
        <v>0</v>
      </c>
      <c r="X102" s="35">
        <v>51.653333333333329</v>
      </c>
      <c r="Y102" s="35">
        <v>51.653333333333329</v>
      </c>
      <c r="Z102" s="18">
        <v>1</v>
      </c>
      <c r="AC102" s="42" t="s">
        <v>120</v>
      </c>
      <c r="AD102" s="18">
        <v>6</v>
      </c>
    </row>
    <row r="103" spans="1:30" s="19" customFormat="1" x14ac:dyDescent="0.25">
      <c r="A103" s="30" t="s">
        <v>102</v>
      </c>
      <c r="B103" s="21">
        <v>5.9949372384937236</v>
      </c>
      <c r="C103" s="37">
        <v>0</v>
      </c>
      <c r="D103" s="31">
        <v>5.9949372384937236</v>
      </c>
      <c r="E103" s="31">
        <v>5.9949372384937236</v>
      </c>
      <c r="F103" s="14">
        <v>1</v>
      </c>
      <c r="G103" s="24">
        <v>10.43096234309623</v>
      </c>
      <c r="H103" s="36">
        <v>0</v>
      </c>
      <c r="I103" s="32">
        <v>10.43096234309623</v>
      </c>
      <c r="J103" s="32">
        <v>10.43096234309623</v>
      </c>
      <c r="K103" s="15">
        <v>1</v>
      </c>
      <c r="L103" s="23">
        <v>18.212133891213391</v>
      </c>
      <c r="M103" s="38">
        <v>0</v>
      </c>
      <c r="N103" s="33">
        <v>18.212133891213391</v>
      </c>
      <c r="O103" s="33">
        <v>18.212133891213391</v>
      </c>
      <c r="P103" s="16">
        <v>1</v>
      </c>
      <c r="Q103" s="25">
        <v>76.964853556485352</v>
      </c>
      <c r="R103" s="39">
        <v>0</v>
      </c>
      <c r="S103" s="34">
        <v>76.964853556485352</v>
      </c>
      <c r="T103" s="34">
        <v>76.964853556485352</v>
      </c>
      <c r="U103" s="17">
        <v>1</v>
      </c>
      <c r="V103" s="28">
        <v>51.19748953974895</v>
      </c>
      <c r="W103" s="40">
        <v>0</v>
      </c>
      <c r="X103" s="35">
        <v>51.19748953974895</v>
      </c>
      <c r="Y103" s="35">
        <v>51.19748953974895</v>
      </c>
      <c r="Z103" s="18">
        <v>1</v>
      </c>
      <c r="AC103" s="42" t="s">
        <v>122</v>
      </c>
      <c r="AD103" s="18">
        <v>6</v>
      </c>
    </row>
    <row r="104" spans="1:30" s="19" customFormat="1" x14ac:dyDescent="0.25">
      <c r="A104" s="30" t="s">
        <v>103</v>
      </c>
      <c r="B104" s="21">
        <v>4.7950622406639001</v>
      </c>
      <c r="C104" s="37">
        <v>0</v>
      </c>
      <c r="D104" s="31">
        <v>4.7950622406639001</v>
      </c>
      <c r="E104" s="31">
        <v>4.7950622406639001</v>
      </c>
      <c r="F104" s="14">
        <v>1</v>
      </c>
      <c r="G104" s="24">
        <v>14.378423236514518</v>
      </c>
      <c r="H104" s="36">
        <v>0</v>
      </c>
      <c r="I104" s="32">
        <v>14.378423236514518</v>
      </c>
      <c r="J104" s="32">
        <v>14.378423236514518</v>
      </c>
      <c r="K104" s="15">
        <v>1</v>
      </c>
      <c r="L104" s="23">
        <v>31.818672199170116</v>
      </c>
      <c r="M104" s="38">
        <v>0</v>
      </c>
      <c r="N104" s="33">
        <v>31.818672199170116</v>
      </c>
      <c r="O104" s="33">
        <v>31.818672199170116</v>
      </c>
      <c r="P104" s="16">
        <v>1</v>
      </c>
      <c r="Q104" s="25">
        <v>33.085892116182571</v>
      </c>
      <c r="R104" s="39">
        <v>0</v>
      </c>
      <c r="S104" s="34">
        <v>33.085892116182571</v>
      </c>
      <c r="T104" s="34">
        <v>33.085892116182571</v>
      </c>
      <c r="U104" s="17">
        <v>1</v>
      </c>
      <c r="V104" s="28">
        <v>51.824066390041494</v>
      </c>
      <c r="W104" s="40">
        <v>0</v>
      </c>
      <c r="X104" s="35">
        <v>51.824066390041494</v>
      </c>
      <c r="Y104" s="35">
        <v>51.824066390041494</v>
      </c>
      <c r="Z104" s="18">
        <v>1</v>
      </c>
      <c r="AC104" s="42" t="s">
        <v>21</v>
      </c>
      <c r="AD104" s="18">
        <v>5</v>
      </c>
    </row>
    <row r="105" spans="1:30" s="19" customFormat="1" x14ac:dyDescent="0.25">
      <c r="A105" s="30" t="s">
        <v>104</v>
      </c>
      <c r="B105" s="21">
        <v>5.9952342088954733</v>
      </c>
      <c r="C105" s="37">
        <v>5.8669193472987572E-4</v>
      </c>
      <c r="D105" s="31">
        <v>5.9944888888888883</v>
      </c>
      <c r="E105" s="31">
        <v>5.996170212765958</v>
      </c>
      <c r="F105" s="14">
        <v>8</v>
      </c>
      <c r="G105" s="24">
        <v>12.29576206935884</v>
      </c>
      <c r="H105" s="36">
        <v>0.39619443076443012</v>
      </c>
      <c r="I105" s="32">
        <v>11.759817351598169</v>
      </c>
      <c r="J105" s="32">
        <v>12.864069264069261</v>
      </c>
      <c r="K105" s="15">
        <v>8</v>
      </c>
      <c r="L105" s="23">
        <v>31.80522658874354</v>
      </c>
      <c r="M105" s="38">
        <v>0.12974423771128829</v>
      </c>
      <c r="N105" s="33">
        <v>31.668510638297867</v>
      </c>
      <c r="O105" s="33">
        <v>32.041489361702126</v>
      </c>
      <c r="P105" s="16">
        <v>8</v>
      </c>
      <c r="Q105" s="25">
        <v>31.849848643157411</v>
      </c>
      <c r="R105" s="39">
        <v>14.164585972414969</v>
      </c>
      <c r="S105" s="34">
        <v>24.306808510638298</v>
      </c>
      <c r="T105" s="34">
        <v>66.399567099567108</v>
      </c>
      <c r="U105" s="17">
        <v>8</v>
      </c>
      <c r="V105" s="28">
        <v>51.417336683044326</v>
      </c>
      <c r="W105" s="40">
        <v>0.27592626209120474</v>
      </c>
      <c r="X105" s="35">
        <v>51.12488888888889</v>
      </c>
      <c r="Y105" s="35">
        <v>51.851063829787236</v>
      </c>
      <c r="Z105" s="18">
        <v>8</v>
      </c>
      <c r="AC105" s="42" t="s">
        <v>42</v>
      </c>
      <c r="AD105" s="18">
        <v>5</v>
      </c>
    </row>
    <row r="106" spans="1:30" x14ac:dyDescent="0.25">
      <c r="A106" s="30" t="s">
        <v>105</v>
      </c>
      <c r="B106" s="21">
        <v>4.7950406232220679</v>
      </c>
      <c r="C106" s="37">
        <v>3.4348012133855591E-4</v>
      </c>
      <c r="D106" s="31">
        <v>4.7943617021276586</v>
      </c>
      <c r="E106" s="31">
        <v>4.7956315789473676</v>
      </c>
      <c r="F106" s="14">
        <v>20</v>
      </c>
      <c r="G106" s="24">
        <v>14.125897117528989</v>
      </c>
      <c r="H106" s="36">
        <v>0.38450464862889799</v>
      </c>
      <c r="I106" s="32">
        <v>13.35469613259669</v>
      </c>
      <c r="J106" s="32">
        <v>14.60084745762712</v>
      </c>
      <c r="K106" s="15">
        <v>20</v>
      </c>
      <c r="L106" s="23">
        <v>31.79134133899322</v>
      </c>
      <c r="M106" s="38">
        <v>0.20195797623385842</v>
      </c>
      <c r="N106" s="33">
        <v>31.12183406113537</v>
      </c>
      <c r="O106" s="33">
        <v>32.035106382978725</v>
      </c>
      <c r="P106" s="16">
        <v>20</v>
      </c>
      <c r="Q106" s="25">
        <v>46.66404782502358</v>
      </c>
      <c r="R106" s="39">
        <v>14.964880629322952</v>
      </c>
      <c r="S106" s="34">
        <v>29.831168831168828</v>
      </c>
      <c r="T106" s="34">
        <v>72.852521008403357</v>
      </c>
      <c r="U106" s="17">
        <v>20</v>
      </c>
      <c r="V106" s="28">
        <v>51.553488785466982</v>
      </c>
      <c r="W106" s="40">
        <v>0.30877333298939741</v>
      </c>
      <c r="X106" s="35">
        <v>50.913114754098359</v>
      </c>
      <c r="Y106" s="35">
        <v>52.126839826839827</v>
      </c>
      <c r="Z106" s="18">
        <v>20</v>
      </c>
      <c r="AC106" s="42" t="s">
        <v>50</v>
      </c>
      <c r="AD106" s="18">
        <v>5</v>
      </c>
    </row>
    <row r="107" spans="1:30" s="19" customFormat="1" x14ac:dyDescent="0.25">
      <c r="A107" s="30" t="s">
        <v>106</v>
      </c>
      <c r="B107" s="21">
        <v>4.7952556225614442</v>
      </c>
      <c r="C107" s="37">
        <v>5.8785911291415961E-4</v>
      </c>
      <c r="D107" s="31">
        <v>4.7946596858638744</v>
      </c>
      <c r="E107" s="31">
        <v>4.7962643678160921</v>
      </c>
      <c r="F107" s="14">
        <v>6</v>
      </c>
      <c r="G107" s="24">
        <v>13.885580731175381</v>
      </c>
      <c r="H107" s="36">
        <v>0.34753910373781161</v>
      </c>
      <c r="I107" s="32">
        <v>13.513692946058089</v>
      </c>
      <c r="J107" s="32">
        <v>14.537172774869109</v>
      </c>
      <c r="K107" s="15">
        <v>6</v>
      </c>
      <c r="L107" s="23">
        <v>31.847426726305308</v>
      </c>
      <c r="M107" s="38">
        <v>4.6465197998632503E-2</v>
      </c>
      <c r="N107" s="33">
        <v>31.792670157068063</v>
      </c>
      <c r="O107" s="33">
        <v>31.908854166666668</v>
      </c>
      <c r="P107" s="16">
        <v>6</v>
      </c>
      <c r="Q107" s="25">
        <v>51.128723798390936</v>
      </c>
      <c r="R107" s="39">
        <v>24.752623407250979</v>
      </c>
      <c r="S107" s="34">
        <v>30.55916230366492</v>
      </c>
      <c r="T107" s="34">
        <v>95.174712643678163</v>
      </c>
      <c r="U107" s="17">
        <v>6</v>
      </c>
      <c r="V107" s="28">
        <v>51.450482502269367</v>
      </c>
      <c r="W107" s="40">
        <v>0.29123278919597262</v>
      </c>
      <c r="X107" s="35">
        <v>50.933507853403142</v>
      </c>
      <c r="Y107" s="35">
        <v>51.782722513089006</v>
      </c>
      <c r="Z107" s="18">
        <v>6</v>
      </c>
      <c r="AC107" s="42" t="s">
        <v>79</v>
      </c>
      <c r="AD107" s="18">
        <v>5</v>
      </c>
    </row>
    <row r="108" spans="1:30" x14ac:dyDescent="0.25">
      <c r="A108" s="30" t="s">
        <v>107</v>
      </c>
      <c r="B108" s="21">
        <v>4.7952621012707946</v>
      </c>
      <c r="C108" s="37">
        <v>4.1018280899827363E-4</v>
      </c>
      <c r="D108" s="31">
        <v>4.794510869565217</v>
      </c>
      <c r="E108" s="31">
        <v>4.7958793969849243</v>
      </c>
      <c r="F108" s="14">
        <v>22</v>
      </c>
      <c r="G108" s="24">
        <v>12.738259661534011</v>
      </c>
      <c r="H108" s="36">
        <v>3.8269743630445161</v>
      </c>
      <c r="I108" s="32">
        <v>0</v>
      </c>
      <c r="J108" s="32">
        <v>14.484018264840179</v>
      </c>
      <c r="K108" s="15">
        <v>22</v>
      </c>
      <c r="L108" s="23">
        <v>31.782207452529768</v>
      </c>
      <c r="M108" s="38">
        <v>0.11426719799077929</v>
      </c>
      <c r="N108" s="33">
        <v>31.45737051792829</v>
      </c>
      <c r="O108" s="33">
        <v>31.92196261682243</v>
      </c>
      <c r="P108" s="16">
        <v>22</v>
      </c>
      <c r="Q108" s="25">
        <v>57.188771655163933</v>
      </c>
      <c r="R108" s="39">
        <v>23.558968281553458</v>
      </c>
      <c r="S108" s="34">
        <v>18.69318181818182</v>
      </c>
      <c r="T108" s="34">
        <v>94.08641304347826</v>
      </c>
      <c r="U108" s="17">
        <v>22</v>
      </c>
      <c r="V108" s="28">
        <v>51.411298861904356</v>
      </c>
      <c r="W108" s="40">
        <v>0.36104351491416964</v>
      </c>
      <c r="X108" s="35">
        <v>50.387649402390437</v>
      </c>
      <c r="Y108" s="35">
        <v>51.925700934579439</v>
      </c>
      <c r="Z108" s="18">
        <v>22</v>
      </c>
      <c r="AC108" s="42" t="s">
        <v>81</v>
      </c>
      <c r="AD108" s="18">
        <v>5</v>
      </c>
    </row>
    <row r="109" spans="1:30" s="19" customFormat="1" x14ac:dyDescent="0.25">
      <c r="A109" s="30" t="s">
        <v>108</v>
      </c>
      <c r="B109" s="21">
        <v>4.7953613038897771</v>
      </c>
      <c r="C109" s="37">
        <v>4.6294241957942599E-4</v>
      </c>
      <c r="D109" s="31">
        <v>4.7946448087431701</v>
      </c>
      <c r="E109" s="31">
        <v>4.7961734693877549</v>
      </c>
      <c r="F109" s="14">
        <v>19</v>
      </c>
      <c r="G109" s="24">
        <v>13.88462025234567</v>
      </c>
      <c r="H109" s="36">
        <v>0.60455316872402798</v>
      </c>
      <c r="I109" s="32">
        <v>12.905439330543931</v>
      </c>
      <c r="J109" s="32">
        <v>14.882051282051279</v>
      </c>
      <c r="K109" s="15">
        <v>19</v>
      </c>
      <c r="L109" s="23">
        <v>31.773182860277501</v>
      </c>
      <c r="M109" s="38">
        <v>0.11489537354584889</v>
      </c>
      <c r="N109" s="33">
        <v>31.515899581589956</v>
      </c>
      <c r="O109" s="33">
        <v>31.935042735042742</v>
      </c>
      <c r="P109" s="16">
        <v>19</v>
      </c>
      <c r="Q109" s="25">
        <v>59.424293193846133</v>
      </c>
      <c r="R109" s="39">
        <v>23.1947469725507</v>
      </c>
      <c r="S109" s="34">
        <v>29.987654320987662</v>
      </c>
      <c r="T109" s="34">
        <v>97.441538461538457</v>
      </c>
      <c r="U109" s="17">
        <v>19</v>
      </c>
      <c r="V109" s="28">
        <v>51.336677860839657</v>
      </c>
      <c r="W109" s="40">
        <v>0.40704904162446065</v>
      </c>
      <c r="X109" s="35">
        <v>50.410878661087871</v>
      </c>
      <c r="Y109" s="35">
        <v>51.819166666666675</v>
      </c>
      <c r="Z109" s="18">
        <v>19</v>
      </c>
      <c r="AC109" s="42" t="s">
        <v>116</v>
      </c>
      <c r="AD109" s="18">
        <v>5</v>
      </c>
    </row>
    <row r="110" spans="1:30" s="19" customFormat="1" x14ac:dyDescent="0.25">
      <c r="A110" s="30" t="s">
        <v>109</v>
      </c>
      <c r="B110" s="21">
        <v>11.87346842845511</v>
      </c>
      <c r="C110" s="37">
        <v>7.7187335628202847E-4</v>
      </c>
      <c r="D110" s="31">
        <v>11.872894736842111</v>
      </c>
      <c r="E110" s="31">
        <v>11.874345991561182</v>
      </c>
      <c r="F110" s="14">
        <v>3</v>
      </c>
      <c r="G110" s="24">
        <v>10.6705337182619</v>
      </c>
      <c r="H110" s="36">
        <v>0.839656317040258</v>
      </c>
      <c r="I110" s="32">
        <v>9.701052631578948</v>
      </c>
      <c r="J110" s="32">
        <v>11.165400843881859</v>
      </c>
      <c r="K110" s="15">
        <v>3</v>
      </c>
      <c r="L110" s="23">
        <v>12.535511140721001</v>
      </c>
      <c r="M110" s="38">
        <v>0.11464068712974991</v>
      </c>
      <c r="N110" s="33">
        <v>12.403157894736839</v>
      </c>
      <c r="O110" s="33">
        <v>12.603797468354431</v>
      </c>
      <c r="P110" s="16">
        <v>3</v>
      </c>
      <c r="Q110" s="25">
        <v>76.596759197571998</v>
      </c>
      <c r="R110" s="39">
        <v>23.816929998165019</v>
      </c>
      <c r="S110" s="34">
        <v>49.30842105263158</v>
      </c>
      <c r="T110" s="34">
        <v>93.2</v>
      </c>
      <c r="U110" s="17">
        <v>3</v>
      </c>
      <c r="V110" s="28">
        <v>5.0337486120364199</v>
      </c>
      <c r="W110" s="40">
        <v>0.49810398567570868</v>
      </c>
      <c r="X110" s="35">
        <v>4.4594736842105265</v>
      </c>
      <c r="Y110" s="35">
        <v>5.3485232067510555</v>
      </c>
      <c r="Z110" s="18">
        <v>3</v>
      </c>
      <c r="AC110" s="42" t="s">
        <v>126</v>
      </c>
      <c r="AD110" s="18">
        <v>5</v>
      </c>
    </row>
    <row r="111" spans="1:30" x14ac:dyDescent="0.25">
      <c r="A111" s="30" t="s">
        <v>110</v>
      </c>
      <c r="B111" s="21">
        <v>7.1944385147757233</v>
      </c>
      <c r="C111" s="37">
        <v>5.7937413002054285E-4</v>
      </c>
      <c r="D111" s="31">
        <v>7.193548387096774</v>
      </c>
      <c r="E111" s="31">
        <v>7.1953164556962035</v>
      </c>
      <c r="F111" s="14">
        <v>11</v>
      </c>
      <c r="G111" s="24">
        <v>11.31582268812882</v>
      </c>
      <c r="H111" s="36">
        <v>0.50843199442274578</v>
      </c>
      <c r="I111" s="32">
        <v>10.49259259259259</v>
      </c>
      <c r="J111" s="32">
        <v>12.256565656565659</v>
      </c>
      <c r="K111" s="15">
        <v>11</v>
      </c>
      <c r="L111" s="23">
        <v>20.274073144819742</v>
      </c>
      <c r="M111" s="38">
        <v>9.3024831999483387E-2</v>
      </c>
      <c r="N111" s="33">
        <v>20.018686868686871</v>
      </c>
      <c r="O111" s="33">
        <v>20.36118143459915</v>
      </c>
      <c r="P111" s="16">
        <v>11</v>
      </c>
      <c r="Q111" s="25">
        <v>40.15021419211822</v>
      </c>
      <c r="R111" s="39">
        <v>16.482072135845748</v>
      </c>
      <c r="S111" s="34">
        <v>27.880168776371313</v>
      </c>
      <c r="T111" s="34">
        <v>79.156565656565661</v>
      </c>
      <c r="U111" s="17">
        <v>11</v>
      </c>
      <c r="V111" s="28">
        <v>28.482332435648154</v>
      </c>
      <c r="W111" s="40">
        <v>0.3135720622872879</v>
      </c>
      <c r="X111" s="35">
        <v>27.862626262626257</v>
      </c>
      <c r="Y111" s="35">
        <v>28.942592592592593</v>
      </c>
      <c r="Z111" s="18">
        <v>11</v>
      </c>
      <c r="AC111" s="42" t="s">
        <v>129</v>
      </c>
      <c r="AD111" s="18">
        <v>5</v>
      </c>
    </row>
    <row r="112" spans="1:30" s="19" customFormat="1" x14ac:dyDescent="0.25">
      <c r="A112" s="30" t="s">
        <v>111</v>
      </c>
      <c r="B112" s="21">
        <v>6.5948884780263999</v>
      </c>
      <c r="C112" s="37">
        <v>4.8447580192428723E-4</v>
      </c>
      <c r="D112" s="31">
        <v>6.5941397849462362</v>
      </c>
      <c r="E112" s="31">
        <v>6.5959649122807011</v>
      </c>
      <c r="F112" s="14">
        <v>24</v>
      </c>
      <c r="G112" s="24">
        <v>11.456876213861451</v>
      </c>
      <c r="H112" s="36">
        <v>0.47409874175250855</v>
      </c>
      <c r="I112" s="32">
        <v>10.627074235807861</v>
      </c>
      <c r="J112" s="32">
        <v>12.170588235294121</v>
      </c>
      <c r="K112" s="15">
        <v>24</v>
      </c>
      <c r="L112" s="23">
        <v>20.217925939872082</v>
      </c>
      <c r="M112" s="38">
        <v>0.10822345229938871</v>
      </c>
      <c r="N112" s="33">
        <v>19.996500000000001</v>
      </c>
      <c r="O112" s="33">
        <v>20.357268722466962</v>
      </c>
      <c r="P112" s="16">
        <v>24</v>
      </c>
      <c r="Q112" s="25">
        <v>45.205918264871386</v>
      </c>
      <c r="R112" s="39">
        <v>18.661919156131113</v>
      </c>
      <c r="S112" s="34">
        <v>28.581481481481479</v>
      </c>
      <c r="T112" s="34">
        <v>89.337058823529418</v>
      </c>
      <c r="U112" s="17">
        <v>24</v>
      </c>
      <c r="V112" s="28">
        <v>39.844704851783924</v>
      </c>
      <c r="W112" s="40">
        <v>0.35670706590205981</v>
      </c>
      <c r="X112" s="35">
        <v>39.108713692946061</v>
      </c>
      <c r="Y112" s="35">
        <v>40.230232558139527</v>
      </c>
      <c r="Z112" s="18">
        <v>24</v>
      </c>
      <c r="AC112" s="41" t="s">
        <v>36</v>
      </c>
      <c r="AD112" s="18">
        <v>4</v>
      </c>
    </row>
    <row r="113" spans="1:30" s="19" customFormat="1" x14ac:dyDescent="0.25">
      <c r="A113" s="29" t="s">
        <v>112</v>
      </c>
      <c r="B113" s="21">
        <v>6.5947128387803478</v>
      </c>
      <c r="C113" s="37">
        <v>6.5434562741239707E-4</v>
      </c>
      <c r="D113" s="31">
        <v>6.5934939759036153</v>
      </c>
      <c r="E113" s="31">
        <v>6.5968786127167629</v>
      </c>
      <c r="F113" s="14">
        <v>47</v>
      </c>
      <c r="G113" s="24">
        <v>11.71727744762063</v>
      </c>
      <c r="H113" s="36">
        <v>0.46825538580759118</v>
      </c>
      <c r="I113" s="32">
        <v>10.290000000000001</v>
      </c>
      <c r="J113" s="32">
        <v>12.330120481927711</v>
      </c>
      <c r="K113" s="15">
        <v>47</v>
      </c>
      <c r="L113" s="23">
        <v>20.225862865540158</v>
      </c>
      <c r="M113" s="38">
        <v>9.57932859045241E-2</v>
      </c>
      <c r="N113" s="33">
        <v>19.941152263374491</v>
      </c>
      <c r="O113" s="33">
        <v>20.41436170212766</v>
      </c>
      <c r="P113" s="16">
        <v>47</v>
      </c>
      <c r="Q113" s="25">
        <v>44.588053324439571</v>
      </c>
      <c r="R113" s="39">
        <v>19.539436105464489</v>
      </c>
      <c r="S113" s="34">
        <v>29.154732510288067</v>
      </c>
      <c r="T113" s="34">
        <v>93.630769230769232</v>
      </c>
      <c r="U113" s="17">
        <v>47</v>
      </c>
      <c r="V113" s="28">
        <v>39.849230011736239</v>
      </c>
      <c r="W113" s="40">
        <v>0.41427840867552773</v>
      </c>
      <c r="X113" s="35">
        <v>38.863786008230448</v>
      </c>
      <c r="Y113" s="35">
        <v>40.53401015228426</v>
      </c>
      <c r="Z113" s="18">
        <v>47</v>
      </c>
      <c r="AC113" s="41" t="s">
        <v>61</v>
      </c>
      <c r="AD113" s="18">
        <v>4</v>
      </c>
    </row>
    <row r="114" spans="1:30" s="19" customFormat="1" x14ac:dyDescent="0.25">
      <c r="A114" s="29" t="s">
        <v>113</v>
      </c>
      <c r="B114" s="21">
        <v>6.5948211628008471</v>
      </c>
      <c r="C114" s="37">
        <v>4.9429826263521132E-4</v>
      </c>
      <c r="D114" s="31">
        <v>6.5935106382978725</v>
      </c>
      <c r="E114" s="31">
        <v>6.5957073170731713</v>
      </c>
      <c r="F114" s="14">
        <v>36</v>
      </c>
      <c r="G114" s="24">
        <v>11.307783635357719</v>
      </c>
      <c r="H114" s="36">
        <v>0.6809064368215022</v>
      </c>
      <c r="I114" s="32">
        <v>9.9878787878787882</v>
      </c>
      <c r="J114" s="32">
        <v>12.41953488372093</v>
      </c>
      <c r="K114" s="15">
        <v>36</v>
      </c>
      <c r="L114" s="23">
        <v>18.250076540000229</v>
      </c>
      <c r="M114" s="38">
        <v>8.8553692678573673E-2</v>
      </c>
      <c r="N114" s="33">
        <v>18.082456140350878</v>
      </c>
      <c r="O114" s="33">
        <v>18.406222222222219</v>
      </c>
      <c r="P114" s="16">
        <v>36</v>
      </c>
      <c r="Q114" s="25">
        <v>51.4627573991866</v>
      </c>
      <c r="R114" s="39">
        <v>22.485126110217131</v>
      </c>
      <c r="S114" s="34">
        <v>28.958291457286428</v>
      </c>
      <c r="T114" s="34">
        <v>96.211797752808991</v>
      </c>
      <c r="U114" s="17">
        <v>36</v>
      </c>
      <c r="V114" s="28">
        <v>51.575654632723101</v>
      </c>
      <c r="W114" s="40">
        <v>0.35845301732578572</v>
      </c>
      <c r="X114" s="35">
        <v>50.866081871345031</v>
      </c>
      <c r="Y114" s="35">
        <v>52.203825136612025</v>
      </c>
      <c r="Z114" s="18">
        <v>36</v>
      </c>
      <c r="AC114" s="41" t="s">
        <v>73</v>
      </c>
      <c r="AD114" s="18">
        <v>4</v>
      </c>
    </row>
    <row r="115" spans="1:30" s="19" customFormat="1" x14ac:dyDescent="0.25">
      <c r="A115" s="29" t="s">
        <v>114</v>
      </c>
      <c r="B115" s="21">
        <v>6.594798673930871</v>
      </c>
      <c r="C115" s="37">
        <v>4.6434452014727724E-4</v>
      </c>
      <c r="D115" s="31">
        <v>6.5937765957446812</v>
      </c>
      <c r="E115" s="31">
        <v>6.595505050505051</v>
      </c>
      <c r="F115" s="14">
        <v>24</v>
      </c>
      <c r="G115" s="24">
        <v>11.43121817962372</v>
      </c>
      <c r="H115" s="36">
        <v>0.48490702021405668</v>
      </c>
      <c r="I115" s="32">
        <v>10.01333333333333</v>
      </c>
      <c r="J115" s="32">
        <v>11.86411483253589</v>
      </c>
      <c r="K115" s="15">
        <v>24</v>
      </c>
      <c r="L115" s="23">
        <v>18.229036837018409</v>
      </c>
      <c r="M115" s="38">
        <v>9.7514135428176635E-2</v>
      </c>
      <c r="N115" s="33">
        <v>18.003468208092492</v>
      </c>
      <c r="O115" s="33">
        <v>18.36946107784431</v>
      </c>
      <c r="P115" s="16">
        <v>24</v>
      </c>
      <c r="Q115" s="25">
        <v>57.864321180674054</v>
      </c>
      <c r="R115" s="39">
        <v>24.611744767165227</v>
      </c>
      <c r="S115" s="34">
        <v>30.765263157894744</v>
      </c>
      <c r="T115" s="34">
        <v>94.481632653061226</v>
      </c>
      <c r="U115" s="17">
        <v>24</v>
      </c>
      <c r="V115" s="28">
        <v>51.338004228823536</v>
      </c>
      <c r="W115" s="40">
        <v>0.34661099069991641</v>
      </c>
      <c r="X115" s="35">
        <v>50.65202312138728</v>
      </c>
      <c r="Y115" s="35">
        <v>51.86</v>
      </c>
      <c r="Z115" s="18">
        <v>24</v>
      </c>
      <c r="AC115" s="41" t="s">
        <v>83</v>
      </c>
      <c r="AD115" s="18">
        <v>4</v>
      </c>
    </row>
    <row r="116" spans="1:30" s="19" customFormat="1" x14ac:dyDescent="0.25">
      <c r="A116" s="29" t="s">
        <v>115</v>
      </c>
      <c r="B116" s="21">
        <v>5.9949889520202024</v>
      </c>
      <c r="C116" s="37">
        <v>2.2989898504459261E-4</v>
      </c>
      <c r="D116" s="31">
        <v>5.9948263888888889</v>
      </c>
      <c r="E116" s="31">
        <v>5.9951515151515151</v>
      </c>
      <c r="F116" s="14">
        <v>2</v>
      </c>
      <c r="G116" s="24">
        <v>12.10138888888889</v>
      </c>
      <c r="H116" s="36">
        <v>1.1804754874808761</v>
      </c>
      <c r="I116" s="32">
        <v>11.266666666666669</v>
      </c>
      <c r="J116" s="32">
        <v>12.936111111111108</v>
      </c>
      <c r="K116" s="15">
        <v>2</v>
      </c>
      <c r="L116" s="23">
        <v>18.27911931818182</v>
      </c>
      <c r="M116" s="38">
        <v>8.0955691141528757E-2</v>
      </c>
      <c r="N116" s="33">
        <v>18.221875000000001</v>
      </c>
      <c r="O116" s="33">
        <v>18.33636363636364</v>
      </c>
      <c r="P116" s="16">
        <v>2</v>
      </c>
      <c r="Q116" s="25">
        <v>33.039425505050509</v>
      </c>
      <c r="R116" s="39">
        <v>5.1562101490500112</v>
      </c>
      <c r="S116" s="34">
        <v>29.393434343434343</v>
      </c>
      <c r="T116" s="34">
        <v>36.685416666666669</v>
      </c>
      <c r="U116" s="17">
        <v>2</v>
      </c>
      <c r="V116" s="28">
        <v>51.57624684343434</v>
      </c>
      <c r="W116" s="40">
        <v>0.41571539771463212</v>
      </c>
      <c r="X116" s="35">
        <v>51.282291666666666</v>
      </c>
      <c r="Y116" s="35">
        <v>51.870202020202022</v>
      </c>
      <c r="Z116" s="18">
        <v>2</v>
      </c>
      <c r="AC116" s="41" t="s">
        <v>44</v>
      </c>
      <c r="AD116" s="18">
        <v>3</v>
      </c>
    </row>
    <row r="117" spans="1:30" s="19" customFormat="1" x14ac:dyDescent="0.25">
      <c r="A117" s="29" t="s">
        <v>116</v>
      </c>
      <c r="B117" s="21">
        <v>11.873664456233421</v>
      </c>
      <c r="C117" s="37">
        <v>1.329920285401852E-3</v>
      </c>
      <c r="D117" s="31">
        <v>11.872735042735039</v>
      </c>
      <c r="E117" s="31">
        <v>11.87594827586207</v>
      </c>
      <c r="F117" s="14">
        <v>5</v>
      </c>
      <c r="G117" s="24">
        <v>7.9069319186560563</v>
      </c>
      <c r="H117" s="36">
        <v>9.423578622817147E-2</v>
      </c>
      <c r="I117" s="32">
        <v>7.7914529914529904</v>
      </c>
      <c r="J117" s="32">
        <v>8.0422413793103438</v>
      </c>
      <c r="K117" s="15">
        <v>5</v>
      </c>
      <c r="L117" s="23">
        <v>10.52766946654878</v>
      </c>
      <c r="M117" s="38">
        <v>4.4517489405228872E-2</v>
      </c>
      <c r="N117" s="33">
        <v>10.488888888888891</v>
      </c>
      <c r="O117" s="33">
        <v>10.580603448275861</v>
      </c>
      <c r="P117" s="16">
        <v>5</v>
      </c>
      <c r="Q117" s="25">
        <v>36.55034040671972</v>
      </c>
      <c r="R117" s="39">
        <v>13.639979480580852</v>
      </c>
      <c r="S117" s="34">
        <v>26.105128205128199</v>
      </c>
      <c r="T117" s="34">
        <v>51.975641025641025</v>
      </c>
      <c r="U117" s="17">
        <v>5</v>
      </c>
      <c r="V117" s="28">
        <v>5.5125066312997344</v>
      </c>
      <c r="W117" s="40">
        <v>8.1943941117089095E-2</v>
      </c>
      <c r="X117" s="35">
        <v>5.4055555555555559</v>
      </c>
      <c r="Y117" s="35">
        <v>5.6284482758620689</v>
      </c>
      <c r="Z117" s="18">
        <v>5</v>
      </c>
      <c r="AC117" s="41" t="s">
        <v>70</v>
      </c>
      <c r="AD117" s="18">
        <v>3</v>
      </c>
    </row>
    <row r="118" spans="1:30" s="19" customFormat="1" x14ac:dyDescent="0.25">
      <c r="A118" s="29" t="s">
        <v>117</v>
      </c>
      <c r="B118" s="21">
        <v>10.194086570436719</v>
      </c>
      <c r="C118" s="37">
        <v>9.534667935208838E-4</v>
      </c>
      <c r="D118" s="31">
        <v>10.1920218579235</v>
      </c>
      <c r="E118" s="31">
        <v>10.19598253275109</v>
      </c>
      <c r="F118" s="14">
        <v>24</v>
      </c>
      <c r="G118" s="24">
        <v>9.5314130465157216</v>
      </c>
      <c r="H118" s="36">
        <v>0.29384985503636457</v>
      </c>
      <c r="I118" s="32">
        <v>8.6610878661087867</v>
      </c>
      <c r="J118" s="32">
        <v>9.9168831168831169</v>
      </c>
      <c r="K118" s="15">
        <v>24</v>
      </c>
      <c r="L118" s="23">
        <v>14.529688417403989</v>
      </c>
      <c r="M118" s="38">
        <v>6.0951936472443166E-2</v>
      </c>
      <c r="N118" s="33">
        <v>14.481896551724139</v>
      </c>
      <c r="O118" s="33">
        <v>14.7</v>
      </c>
      <c r="P118" s="16">
        <v>24</v>
      </c>
      <c r="Q118" s="25">
        <v>50.901393719417868</v>
      </c>
      <c r="R118" s="39">
        <v>19.73938241317969</v>
      </c>
      <c r="S118" s="34">
        <v>27.791304347826088</v>
      </c>
      <c r="T118" s="34">
        <v>82.694827586206898</v>
      </c>
      <c r="U118" s="17">
        <v>24</v>
      </c>
      <c r="V118" s="28">
        <v>16.28659101372622</v>
      </c>
      <c r="W118" s="40">
        <v>0.3633713203690685</v>
      </c>
      <c r="X118" s="35">
        <v>15.95304347826087</v>
      </c>
      <c r="Y118" s="35">
        <v>17.28633879781421</v>
      </c>
      <c r="Z118" s="18">
        <v>24</v>
      </c>
      <c r="AC118" s="41" t="s">
        <v>71</v>
      </c>
      <c r="AD118" s="18">
        <v>3</v>
      </c>
    </row>
    <row r="119" spans="1:30" s="19" customFormat="1" x14ac:dyDescent="0.25">
      <c r="A119" s="29" t="s">
        <v>118</v>
      </c>
      <c r="B119" s="21">
        <v>10.1942095152835</v>
      </c>
      <c r="C119" s="37">
        <v>1.0875905034416281E-3</v>
      </c>
      <c r="D119" s="31">
        <v>10.19235042735043</v>
      </c>
      <c r="E119" s="31">
        <v>10.195708154506439</v>
      </c>
      <c r="F119" s="14">
        <v>17</v>
      </c>
      <c r="G119" s="24">
        <v>9.3942062516708127</v>
      </c>
      <c r="H119" s="36">
        <v>0.2813223750841567</v>
      </c>
      <c r="I119" s="32">
        <v>8.5857740585774049</v>
      </c>
      <c r="J119" s="32">
        <v>9.6858369098712451</v>
      </c>
      <c r="K119" s="15">
        <v>17</v>
      </c>
      <c r="L119" s="23">
        <v>14.61803770548244</v>
      </c>
      <c r="M119" s="38">
        <v>0.20652769955686293</v>
      </c>
      <c r="N119" s="33">
        <v>13.83506493506493</v>
      </c>
      <c r="O119" s="33">
        <v>14.7</v>
      </c>
      <c r="P119" s="16">
        <v>17</v>
      </c>
      <c r="Q119" s="25">
        <v>62.998068615683664</v>
      </c>
      <c r="R119" s="39">
        <v>13.39765589375337</v>
      </c>
      <c r="S119" s="34">
        <v>26.75215517241379</v>
      </c>
      <c r="T119" s="34">
        <v>76.971038251366124</v>
      </c>
      <c r="U119" s="17">
        <v>17</v>
      </c>
      <c r="V119" s="28">
        <v>16.76927445682669</v>
      </c>
      <c r="W119" s="40">
        <v>0.294050048252399</v>
      </c>
      <c r="X119" s="35">
        <v>16.110300429184552</v>
      </c>
      <c r="Y119" s="35">
        <v>17.048497854077247</v>
      </c>
      <c r="Z119" s="18">
        <v>17</v>
      </c>
      <c r="AC119" s="41" t="s">
        <v>75</v>
      </c>
      <c r="AD119" s="18">
        <v>3</v>
      </c>
    </row>
    <row r="120" spans="1:30" s="19" customFormat="1" x14ac:dyDescent="0.25">
      <c r="A120" s="29" t="s">
        <v>119</v>
      </c>
      <c r="B120" s="21">
        <v>8.3945601478146887</v>
      </c>
      <c r="C120" s="37">
        <v>5.6891395840305147E-4</v>
      </c>
      <c r="D120" s="31">
        <v>8.3931304347826092</v>
      </c>
      <c r="E120" s="31">
        <v>8.3952813852813861</v>
      </c>
      <c r="F120" s="14">
        <v>17</v>
      </c>
      <c r="G120" s="24">
        <v>9.3386732579847376</v>
      </c>
      <c r="H120" s="36">
        <v>0.24884617696720893</v>
      </c>
      <c r="I120" s="32">
        <v>8.7255230125523013</v>
      </c>
      <c r="J120" s="32">
        <v>9.612068965517242</v>
      </c>
      <c r="K120" s="15">
        <v>17</v>
      </c>
      <c r="L120" s="23">
        <v>16.672155874777321</v>
      </c>
      <c r="M120" s="38">
        <v>5.0235066838685741E-2</v>
      </c>
      <c r="N120" s="33">
        <v>16.596103896103902</v>
      </c>
      <c r="O120" s="33">
        <v>16.782683982683981</v>
      </c>
      <c r="P120" s="16">
        <v>17</v>
      </c>
      <c r="Q120" s="25">
        <v>35.014434973759911</v>
      </c>
      <c r="R120" s="39">
        <v>13.056206087736431</v>
      </c>
      <c r="S120" s="34">
        <v>26.668831168831172</v>
      </c>
      <c r="T120" s="34">
        <v>66.128138528138521</v>
      </c>
      <c r="U120" s="17">
        <v>17</v>
      </c>
      <c r="V120" s="28">
        <v>28.218202073128616</v>
      </c>
      <c r="W120" s="40">
        <v>0.30264239835810913</v>
      </c>
      <c r="X120" s="35">
        <v>27.672727272727268</v>
      </c>
      <c r="Y120" s="35">
        <v>28.773913043478263</v>
      </c>
      <c r="Z120" s="18">
        <v>17</v>
      </c>
      <c r="AC120" s="41" t="s">
        <v>96</v>
      </c>
      <c r="AD120" s="18">
        <v>3</v>
      </c>
    </row>
    <row r="121" spans="1:30" s="19" customFormat="1" x14ac:dyDescent="0.25">
      <c r="A121" s="29" t="s">
        <v>120</v>
      </c>
      <c r="B121" s="21">
        <v>8.3947336655746216</v>
      </c>
      <c r="C121" s="37">
        <v>9.2354520716592613E-4</v>
      </c>
      <c r="D121" s="31">
        <v>8.3938793103448273</v>
      </c>
      <c r="E121" s="31">
        <v>8.3962962962962973</v>
      </c>
      <c r="F121" s="14">
        <v>6</v>
      </c>
      <c r="G121" s="24">
        <v>9.2693661913899028</v>
      </c>
      <c r="H121" s="36">
        <v>0.36064928596879603</v>
      </c>
      <c r="I121" s="32">
        <v>8.5572016460905349</v>
      </c>
      <c r="J121" s="32">
        <v>9.5434782608695663</v>
      </c>
      <c r="K121" s="15">
        <v>6</v>
      </c>
      <c r="L121" s="23">
        <v>16.659057474863392</v>
      </c>
      <c r="M121" s="38">
        <v>9.2012379517071363E-2</v>
      </c>
      <c r="N121" s="33">
        <v>16.585344827586209</v>
      </c>
      <c r="O121" s="33">
        <v>16.79958847736625</v>
      </c>
      <c r="P121" s="16">
        <v>6</v>
      </c>
      <c r="Q121" s="25">
        <v>41.479753256087996</v>
      </c>
      <c r="R121" s="39">
        <v>17.97194515172546</v>
      </c>
      <c r="S121" s="34">
        <v>25.737931034482763</v>
      </c>
      <c r="T121" s="34">
        <v>67.384913793103451</v>
      </c>
      <c r="U121" s="17">
        <v>6</v>
      </c>
      <c r="V121" s="28">
        <v>28.19334831812489</v>
      </c>
      <c r="W121" s="40">
        <v>0.5640254049001745</v>
      </c>
      <c r="X121" s="35">
        <v>27.670258620689662</v>
      </c>
      <c r="Y121" s="35">
        <v>29.058024691358032</v>
      </c>
      <c r="Z121" s="18">
        <v>6</v>
      </c>
      <c r="AC121" s="41" t="s">
        <v>97</v>
      </c>
      <c r="AD121" s="18">
        <v>3</v>
      </c>
    </row>
    <row r="122" spans="1:30" x14ac:dyDescent="0.25">
      <c r="A122" s="29" t="s">
        <v>121</v>
      </c>
      <c r="B122" s="21">
        <v>7.7946167789178551</v>
      </c>
      <c r="C122" s="37">
        <v>7.1240720801968814E-4</v>
      </c>
      <c r="D122" s="31">
        <v>7.7933189655172415</v>
      </c>
      <c r="E122" s="31">
        <v>7.7956034482758616</v>
      </c>
      <c r="F122" s="14">
        <v>14</v>
      </c>
      <c r="G122" s="24">
        <v>9.182518373099315</v>
      </c>
      <c r="H122" s="36">
        <v>0.47581888732370992</v>
      </c>
      <c r="I122" s="32">
        <v>8.34077253218884</v>
      </c>
      <c r="J122" s="32">
        <v>10.01637931034483</v>
      </c>
      <c r="K122" s="15">
        <v>14</v>
      </c>
      <c r="L122" s="23">
        <v>16.642934395714072</v>
      </c>
      <c r="M122" s="38">
        <v>9.5965635220662829E-2</v>
      </c>
      <c r="N122" s="33">
        <v>16.52597402597403</v>
      </c>
      <c r="O122" s="33">
        <v>16.794535519125681</v>
      </c>
      <c r="P122" s="16">
        <v>14</v>
      </c>
      <c r="Q122" s="25">
        <v>41.511420332520281</v>
      </c>
      <c r="R122" s="39">
        <v>16.47242266317679</v>
      </c>
      <c r="S122" s="34">
        <v>25.544155844155842</v>
      </c>
      <c r="T122" s="34">
        <v>67.449783549783547</v>
      </c>
      <c r="U122" s="17">
        <v>14</v>
      </c>
      <c r="V122" s="28">
        <v>39.678541359044182</v>
      </c>
      <c r="W122" s="40">
        <v>0.54057189593010002</v>
      </c>
      <c r="X122" s="35">
        <v>39.272727272727266</v>
      </c>
      <c r="Y122" s="35">
        <v>40.630530973451329</v>
      </c>
      <c r="Z122" s="18">
        <v>14</v>
      </c>
      <c r="AC122" s="41" t="s">
        <v>100</v>
      </c>
      <c r="AD122" s="18">
        <v>3</v>
      </c>
    </row>
    <row r="123" spans="1:30" s="19" customFormat="1" x14ac:dyDescent="0.25">
      <c r="A123" s="29" t="s">
        <v>122</v>
      </c>
      <c r="B123" s="21">
        <v>6.5950380359612719</v>
      </c>
      <c r="C123" s="37">
        <v>4.426708226537427E-4</v>
      </c>
      <c r="D123" s="31">
        <v>6.5944827586206891</v>
      </c>
      <c r="E123" s="31">
        <v>6.5956034482758614</v>
      </c>
      <c r="F123" s="14">
        <v>6</v>
      </c>
      <c r="G123" s="24">
        <v>9.0545058902084232</v>
      </c>
      <c r="H123" s="36">
        <v>0.33127831607672281</v>
      </c>
      <c r="I123" s="32">
        <v>8.8663793103448274</v>
      </c>
      <c r="J123" s="32">
        <v>9.7253112033195031</v>
      </c>
      <c r="K123" s="15">
        <v>6</v>
      </c>
      <c r="L123" s="23">
        <v>14.339425645061288</v>
      </c>
      <c r="M123" s="38">
        <v>6.411661296137397E-2</v>
      </c>
      <c r="N123" s="33">
        <v>14.213278008298762</v>
      </c>
      <c r="O123" s="33">
        <v>14.38836206896552</v>
      </c>
      <c r="P123" s="16">
        <v>6</v>
      </c>
      <c r="Q123" s="25">
        <v>26.1455510444985</v>
      </c>
      <c r="R123" s="39">
        <v>2.7005458152749342</v>
      </c>
      <c r="S123" s="34">
        <v>24.928017241379312</v>
      </c>
      <c r="T123" s="34">
        <v>31.654771784232373</v>
      </c>
      <c r="U123" s="17">
        <v>6</v>
      </c>
      <c r="V123" s="28">
        <v>52.06119437687795</v>
      </c>
      <c r="W123" s="40">
        <v>0.3576065827576379</v>
      </c>
      <c r="X123" s="35">
        <v>51.335269709543567</v>
      </c>
      <c r="Y123" s="35">
        <v>52.269396551724142</v>
      </c>
      <c r="Z123" s="18">
        <v>6</v>
      </c>
      <c r="AC123" s="41" t="s">
        <v>109</v>
      </c>
      <c r="AD123" s="18">
        <v>3</v>
      </c>
    </row>
    <row r="124" spans="1:30" s="19" customFormat="1" x14ac:dyDescent="0.25">
      <c r="A124" s="29" t="s">
        <v>123</v>
      </c>
      <c r="B124" s="21">
        <v>5.995403888437095</v>
      </c>
      <c r="C124" s="37">
        <v>7.723882122049545E-4</v>
      </c>
      <c r="D124" s="31">
        <v>5.9943722943722948</v>
      </c>
      <c r="E124" s="31">
        <v>5.9972413793103456</v>
      </c>
      <c r="F124" s="14">
        <v>34</v>
      </c>
      <c r="G124" s="24">
        <v>10.20495267582594</v>
      </c>
      <c r="H124" s="36">
        <v>0.2504271404678195</v>
      </c>
      <c r="I124" s="32">
        <v>9.2308411214953274</v>
      </c>
      <c r="J124" s="32">
        <v>10.593073593073591</v>
      </c>
      <c r="K124" s="15">
        <v>34</v>
      </c>
      <c r="L124" s="23">
        <v>18.14337056911717</v>
      </c>
      <c r="M124" s="38">
        <v>9.0723650956459539E-2</v>
      </c>
      <c r="N124" s="33">
        <v>17.987224669603521</v>
      </c>
      <c r="O124" s="33">
        <v>18.31754385964912</v>
      </c>
      <c r="P124" s="16">
        <v>34</v>
      </c>
      <c r="Q124" s="25">
        <v>54.230275029026458</v>
      </c>
      <c r="R124" s="39">
        <v>17.98768951348206</v>
      </c>
      <c r="S124" s="34">
        <v>28.942622950819668</v>
      </c>
      <c r="T124" s="34">
        <v>76.876623376623371</v>
      </c>
      <c r="U124" s="17">
        <v>34</v>
      </c>
      <c r="V124" s="28">
        <v>51.324771900537918</v>
      </c>
      <c r="W124" s="40">
        <v>0.42288642062610071</v>
      </c>
      <c r="X124" s="35">
        <v>50.332786885245902</v>
      </c>
      <c r="Y124" s="35">
        <v>51.915584415584419</v>
      </c>
      <c r="Z124" s="18">
        <v>34</v>
      </c>
      <c r="AC124" s="41" t="s">
        <v>11</v>
      </c>
      <c r="AD124" s="18">
        <v>2</v>
      </c>
    </row>
    <row r="125" spans="1:30" s="19" customFormat="1" x14ac:dyDescent="0.25">
      <c r="A125" s="29" t="s">
        <v>124</v>
      </c>
      <c r="B125" s="21">
        <v>5.9954402302702166</v>
      </c>
      <c r="C125" s="37">
        <v>5.5587426489001935E-4</v>
      </c>
      <c r="D125" s="31">
        <v>5.9947807017543857</v>
      </c>
      <c r="E125" s="31">
        <v>5.9966527196652715</v>
      </c>
      <c r="F125" s="14">
        <v>12</v>
      </c>
      <c r="G125" s="24">
        <v>13.92390041706987</v>
      </c>
      <c r="H125" s="36">
        <v>0.45978278540009249</v>
      </c>
      <c r="I125" s="32">
        <v>13.061410788381741</v>
      </c>
      <c r="J125" s="32">
        <v>14.669999999999998</v>
      </c>
      <c r="K125" s="15">
        <v>12</v>
      </c>
      <c r="L125" s="23">
        <v>31.770241984776483</v>
      </c>
      <c r="M125" s="38">
        <v>3.9605015911634338E-2</v>
      </c>
      <c r="N125" s="33">
        <v>31.692016806722688</v>
      </c>
      <c r="O125" s="33">
        <v>31.835526315789469</v>
      </c>
      <c r="P125" s="16">
        <v>12</v>
      </c>
      <c r="Q125" s="25">
        <v>51.293133907246478</v>
      </c>
      <c r="R125" s="39">
        <v>21.155385517808661</v>
      </c>
      <c r="S125" s="34">
        <v>27.881420765027322</v>
      </c>
      <c r="T125" s="34">
        <v>88.974583333333328</v>
      </c>
      <c r="U125" s="17">
        <v>12</v>
      </c>
      <c r="V125" s="28">
        <v>51.401558123985787</v>
      </c>
      <c r="W125" s="40">
        <v>0.21797198241432811</v>
      </c>
      <c r="X125" s="35">
        <v>51.022689075630254</v>
      </c>
      <c r="Y125" s="35">
        <v>51.691213389121344</v>
      </c>
      <c r="Z125" s="18">
        <v>12</v>
      </c>
      <c r="AC125" s="41" t="s">
        <v>31</v>
      </c>
      <c r="AD125" s="18">
        <v>2</v>
      </c>
    </row>
    <row r="126" spans="1:30" s="19" customFormat="1" x14ac:dyDescent="0.25">
      <c r="A126" s="29" t="s">
        <v>125</v>
      </c>
      <c r="B126" s="21">
        <v>5.995325511642001</v>
      </c>
      <c r="C126" s="37">
        <v>8.7483929864583059E-4</v>
      </c>
      <c r="D126" s="31">
        <v>5.993661202185792</v>
      </c>
      <c r="E126" s="31">
        <v>5.9972173913043481</v>
      </c>
      <c r="F126" s="14">
        <v>18</v>
      </c>
      <c r="G126" s="24">
        <v>13.885654991662198</v>
      </c>
      <c r="H126" s="36">
        <v>0.47841324119416484</v>
      </c>
      <c r="I126" s="32">
        <v>13.17402597402597</v>
      </c>
      <c r="J126" s="32">
        <v>14.63463203463203</v>
      </c>
      <c r="K126" s="15">
        <v>18</v>
      </c>
      <c r="L126" s="23">
        <v>31.845285148818341</v>
      </c>
      <c r="M126" s="38">
        <v>0.10012863342898819</v>
      </c>
      <c r="N126" s="33">
        <v>31.681739130434778</v>
      </c>
      <c r="O126" s="33">
        <v>32.03879310344827</v>
      </c>
      <c r="P126" s="16">
        <v>18</v>
      </c>
      <c r="Q126" s="25">
        <v>53.739281386144697</v>
      </c>
      <c r="R126" s="39">
        <v>16.947471223790629</v>
      </c>
      <c r="S126" s="34">
        <v>30.757758620689664</v>
      </c>
      <c r="T126" s="34">
        <v>90.886266094420606</v>
      </c>
      <c r="U126" s="17">
        <v>18</v>
      </c>
      <c r="V126" s="28">
        <v>51.587753382494761</v>
      </c>
      <c r="W126" s="40">
        <v>0.3464142131336001</v>
      </c>
      <c r="X126" s="35">
        <v>50.815450643776821</v>
      </c>
      <c r="Y126" s="35">
        <v>52.1</v>
      </c>
      <c r="Z126" s="18">
        <v>18</v>
      </c>
      <c r="AC126" s="41" t="s">
        <v>74</v>
      </c>
      <c r="AD126" s="18">
        <v>2</v>
      </c>
    </row>
    <row r="127" spans="1:30" s="19" customFormat="1" x14ac:dyDescent="0.25">
      <c r="A127" s="29" t="s">
        <v>126</v>
      </c>
      <c r="B127" s="21">
        <v>5.9950595715908435</v>
      </c>
      <c r="C127" s="37">
        <v>4.7305013180501626E-4</v>
      </c>
      <c r="D127" s="31">
        <v>5.9943352601156077</v>
      </c>
      <c r="E127" s="31">
        <v>5.9956378600823044</v>
      </c>
      <c r="F127" s="14">
        <v>5</v>
      </c>
      <c r="G127" s="24">
        <v>14.27662595965503</v>
      </c>
      <c r="H127" s="36">
        <v>0.1854183136277088</v>
      </c>
      <c r="I127" s="32">
        <v>14.047668393782379</v>
      </c>
      <c r="J127" s="32">
        <v>14.43388429752066</v>
      </c>
      <c r="K127" s="15">
        <v>5</v>
      </c>
      <c r="L127" s="23">
        <v>31.906080645851979</v>
      </c>
      <c r="M127" s="38">
        <v>4.4364293319609602E-2</v>
      </c>
      <c r="N127" s="33">
        <v>31.869547325102879</v>
      </c>
      <c r="O127" s="33">
        <v>31.962176165803111</v>
      </c>
      <c r="P127" s="16">
        <v>5</v>
      </c>
      <c r="Q127" s="25">
        <v>74.327657179411716</v>
      </c>
      <c r="R127" s="39">
        <v>16.479412194166422</v>
      </c>
      <c r="S127" s="34">
        <v>61.20578512396694</v>
      </c>
      <c r="T127" s="34">
        <v>92.7</v>
      </c>
      <c r="U127" s="17">
        <v>5</v>
      </c>
      <c r="V127" s="28">
        <v>51.496677961751423</v>
      </c>
      <c r="W127" s="40">
        <v>9.4473802973756127E-2</v>
      </c>
      <c r="X127" s="35">
        <v>51.376446280991743</v>
      </c>
      <c r="Y127" s="35">
        <v>51.596531791907509</v>
      </c>
      <c r="Z127" s="18">
        <v>5</v>
      </c>
      <c r="AC127" s="41" t="s">
        <v>76</v>
      </c>
      <c r="AD127" s="18">
        <v>2</v>
      </c>
    </row>
    <row r="128" spans="1:30" s="19" customFormat="1" x14ac:dyDescent="0.25">
      <c r="A128" s="29" t="s">
        <v>127</v>
      </c>
      <c r="B128" s="21">
        <v>4.7954308423637499</v>
      </c>
      <c r="C128" s="37">
        <v>5.0048096176456727E-4</v>
      </c>
      <c r="D128" s="31">
        <v>4.7946190476190473</v>
      </c>
      <c r="E128" s="31">
        <v>4.7962910798122076</v>
      </c>
      <c r="F128" s="14">
        <v>12</v>
      </c>
      <c r="G128" s="24">
        <v>13.783058351161301</v>
      </c>
      <c r="H128" s="36">
        <v>0.63232607676434871</v>
      </c>
      <c r="I128" s="32">
        <v>12.822916666666671</v>
      </c>
      <c r="J128" s="32">
        <v>14.594067796610171</v>
      </c>
      <c r="K128" s="15">
        <v>12</v>
      </c>
      <c r="L128" s="23">
        <v>31.802520652875767</v>
      </c>
      <c r="M128" s="38">
        <v>7.4843405859426324E-2</v>
      </c>
      <c r="N128" s="33">
        <v>31.689999999999998</v>
      </c>
      <c r="O128" s="33">
        <v>31.94600938967136</v>
      </c>
      <c r="P128" s="16">
        <v>12</v>
      </c>
      <c r="Q128" s="25">
        <v>67.843898202533609</v>
      </c>
      <c r="R128" s="39">
        <v>13.84849965141766</v>
      </c>
      <c r="S128" s="34">
        <v>54.124576271186434</v>
      </c>
      <c r="T128" s="34">
        <v>94.61090909090909</v>
      </c>
      <c r="U128" s="17">
        <v>12</v>
      </c>
      <c r="V128" s="28">
        <v>51.490785459688439</v>
      </c>
      <c r="W128" s="40">
        <v>0.26456152990431508</v>
      </c>
      <c r="X128" s="35">
        <v>51.027699530516429</v>
      </c>
      <c r="Y128" s="35">
        <v>51.846948356807516</v>
      </c>
      <c r="Z128" s="18">
        <v>12</v>
      </c>
      <c r="AC128" s="41" t="s">
        <v>95</v>
      </c>
      <c r="AD128" s="18">
        <v>2</v>
      </c>
    </row>
    <row r="129" spans="1:30" x14ac:dyDescent="0.25">
      <c r="A129" s="29" t="s">
        <v>128</v>
      </c>
      <c r="B129" s="21">
        <v>4.7951802434234336</v>
      </c>
      <c r="C129" s="37">
        <v>6.0347968932186584E-4</v>
      </c>
      <c r="D129" s="31">
        <v>4.7938251366120221</v>
      </c>
      <c r="E129" s="31">
        <v>4.7960550458715598</v>
      </c>
      <c r="F129" s="14">
        <v>18</v>
      </c>
      <c r="G129" s="24">
        <v>13.628946969030389</v>
      </c>
      <c r="H129" s="36">
        <v>12.064523737564009</v>
      </c>
      <c r="I129" s="32">
        <v>0</v>
      </c>
      <c r="J129" s="32">
        <v>56.986086956521739</v>
      </c>
      <c r="K129" s="15">
        <v>18</v>
      </c>
      <c r="L129" s="23">
        <v>31.86932975094016</v>
      </c>
      <c r="M129" s="38">
        <v>0.10093748801057449</v>
      </c>
      <c r="N129" s="33">
        <v>31.640983606557381</v>
      </c>
      <c r="O129" s="33">
        <v>32.022127659574473</v>
      </c>
      <c r="P129" s="16">
        <v>18</v>
      </c>
      <c r="Q129" s="25">
        <v>44.769190266599153</v>
      </c>
      <c r="R129" s="39">
        <v>22.170964052676169</v>
      </c>
      <c r="S129" s="34">
        <v>19.811009174311931</v>
      </c>
      <c r="T129" s="34">
        <v>97.163681592039808</v>
      </c>
      <c r="U129" s="17">
        <v>18</v>
      </c>
      <c r="V129" s="28">
        <v>51.597421209688989</v>
      </c>
      <c r="W129" s="40">
        <v>0.36104048424341778</v>
      </c>
      <c r="X129" s="35">
        <v>50.810552763819089</v>
      </c>
      <c r="Y129" s="35">
        <v>52.110638297872342</v>
      </c>
      <c r="Z129" s="18">
        <v>18</v>
      </c>
      <c r="AC129" s="41" t="s">
        <v>115</v>
      </c>
      <c r="AD129" s="18">
        <v>2</v>
      </c>
    </row>
    <row r="130" spans="1:30" s="19" customFormat="1" x14ac:dyDescent="0.25">
      <c r="A130" s="29" t="s">
        <v>129</v>
      </c>
      <c r="B130" s="21">
        <v>11.87356833358826</v>
      </c>
      <c r="C130" s="37">
        <v>9.576386785884578E-4</v>
      </c>
      <c r="D130" s="31">
        <v>11.872314410480351</v>
      </c>
      <c r="E130" s="31">
        <v>11.874693877551019</v>
      </c>
      <c r="F130" s="14">
        <v>5</v>
      </c>
      <c r="G130" s="24">
        <v>10.69924666360178</v>
      </c>
      <c r="H130" s="36">
        <v>0.66562994533119435</v>
      </c>
      <c r="I130" s="32">
        <v>9.5102040816326543</v>
      </c>
      <c r="J130" s="32">
        <v>11.053275109170311</v>
      </c>
      <c r="K130" s="15">
        <v>5</v>
      </c>
      <c r="L130" s="23">
        <v>12.56284615958695</v>
      </c>
      <c r="M130" s="38">
        <v>7.8912735430943029E-2</v>
      </c>
      <c r="N130" s="33">
        <v>12.42176870748299</v>
      </c>
      <c r="O130" s="33">
        <v>12.60131004366812</v>
      </c>
      <c r="P130" s="16">
        <v>5</v>
      </c>
      <c r="Q130" s="25">
        <v>81.052274193488628</v>
      </c>
      <c r="R130" s="39">
        <v>19.712416042960761</v>
      </c>
      <c r="S130" s="34">
        <v>49.472789115646258</v>
      </c>
      <c r="T130" s="34">
        <v>94.821333333333342</v>
      </c>
      <c r="U130" s="17">
        <v>5</v>
      </c>
      <c r="V130" s="28">
        <v>5.0970249808656485</v>
      </c>
      <c r="W130" s="40">
        <v>0.39298534786974082</v>
      </c>
      <c r="X130" s="35">
        <v>4.4027210884353742</v>
      </c>
      <c r="Y130" s="35">
        <v>5.3486725663716808</v>
      </c>
      <c r="Z130" s="18">
        <v>5</v>
      </c>
      <c r="AC130" s="41" t="s">
        <v>72</v>
      </c>
      <c r="AD130" s="18">
        <v>1</v>
      </c>
    </row>
    <row r="131" spans="1:30" s="19" customFormat="1" x14ac:dyDescent="0.25">
      <c r="A131" s="29" t="s">
        <v>130</v>
      </c>
      <c r="B131" s="21">
        <v>7.1951204819277113</v>
      </c>
      <c r="C131" s="37">
        <v>0</v>
      </c>
      <c r="D131" s="31">
        <v>7.1951204819277113</v>
      </c>
      <c r="E131" s="31">
        <v>7.1951204819277113</v>
      </c>
      <c r="F131" s="14">
        <v>1</v>
      </c>
      <c r="G131" s="24">
        <v>11.5</v>
      </c>
      <c r="H131" s="36">
        <v>0</v>
      </c>
      <c r="I131" s="32">
        <v>11.5</v>
      </c>
      <c r="J131" s="32">
        <v>11.5</v>
      </c>
      <c r="K131" s="15">
        <v>1</v>
      </c>
      <c r="L131" s="23">
        <v>20.274698795180718</v>
      </c>
      <c r="M131" s="38">
        <v>0</v>
      </c>
      <c r="N131" s="33">
        <v>20.274698795180718</v>
      </c>
      <c r="O131" s="33">
        <v>20.274698795180718</v>
      </c>
      <c r="P131" s="16">
        <v>1</v>
      </c>
      <c r="Q131" s="25">
        <v>28.340361445783127</v>
      </c>
      <c r="R131" s="39">
        <v>0</v>
      </c>
      <c r="S131" s="34">
        <v>28.340361445783127</v>
      </c>
      <c r="T131" s="34">
        <v>28.340361445783127</v>
      </c>
      <c r="U131" s="17">
        <v>1</v>
      </c>
      <c r="V131" s="28">
        <v>28.549397590361451</v>
      </c>
      <c r="W131" s="40">
        <v>0</v>
      </c>
      <c r="X131" s="35">
        <v>28.549397590361451</v>
      </c>
      <c r="Y131" s="35">
        <v>28.549397590361451</v>
      </c>
      <c r="Z131" s="18">
        <v>1</v>
      </c>
      <c r="AC131" s="41" t="s">
        <v>82</v>
      </c>
      <c r="AD131" s="18">
        <v>1</v>
      </c>
    </row>
    <row r="132" spans="1:30" s="19" customFormat="1" x14ac:dyDescent="0.25">
      <c r="A132" s="29" t="s">
        <v>131</v>
      </c>
      <c r="B132" s="21">
        <v>6.5948295336128968</v>
      </c>
      <c r="C132" s="37">
        <v>4.5638810268548263E-4</v>
      </c>
      <c r="D132" s="31">
        <v>6.5940086206896549</v>
      </c>
      <c r="E132" s="31">
        <v>6.5960352422907489</v>
      </c>
      <c r="F132" s="14">
        <v>33</v>
      </c>
      <c r="G132" s="24">
        <v>11.47726116116792</v>
      </c>
      <c r="H132" s="36">
        <v>0.53476404623684837</v>
      </c>
      <c r="I132" s="32">
        <v>10.527192982456139</v>
      </c>
      <c r="J132" s="32">
        <v>12.50396475770925</v>
      </c>
      <c r="K132" s="15">
        <v>33</v>
      </c>
      <c r="L132" s="23">
        <v>20.20007731358475</v>
      </c>
      <c r="M132" s="38">
        <v>0.1096053138809264</v>
      </c>
      <c r="N132" s="33">
        <v>20.004142011834322</v>
      </c>
      <c r="O132" s="33">
        <v>20.396551724137929</v>
      </c>
      <c r="P132" s="16">
        <v>33</v>
      </c>
      <c r="Q132" s="25">
        <v>48.168643218101138</v>
      </c>
      <c r="R132" s="39">
        <v>18.70195159257813</v>
      </c>
      <c r="S132" s="34">
        <v>29.495884773662549</v>
      </c>
      <c r="T132" s="34">
        <v>91.081775700934571</v>
      </c>
      <c r="U132" s="17">
        <v>33</v>
      </c>
      <c r="V132" s="28">
        <v>39.758197697056318</v>
      </c>
      <c r="W132" s="40">
        <v>0.34456237963935982</v>
      </c>
      <c r="X132" s="35">
        <v>38.779629629629632</v>
      </c>
      <c r="Y132" s="35">
        <v>40.341379310344834</v>
      </c>
      <c r="Z132" s="18">
        <v>33</v>
      </c>
      <c r="AC132" s="41" t="s">
        <v>98</v>
      </c>
      <c r="AD132" s="18">
        <v>1</v>
      </c>
    </row>
    <row r="133" spans="1:30" s="19" customFormat="1" x14ac:dyDescent="0.25">
      <c r="A133" s="29" t="s">
        <v>132</v>
      </c>
      <c r="B133" s="21">
        <v>6.5948815370676952</v>
      </c>
      <c r="C133" s="37">
        <v>5.3969183355446278E-4</v>
      </c>
      <c r="D133" s="31">
        <v>6.5936815920398013</v>
      </c>
      <c r="E133" s="31">
        <v>6.5965806451612901</v>
      </c>
      <c r="F133" s="14">
        <v>117</v>
      </c>
      <c r="G133" s="24">
        <v>11.643175902401611</v>
      </c>
      <c r="H133" s="36">
        <v>0.4910183885519559</v>
      </c>
      <c r="I133" s="32">
        <v>10.396428571428569</v>
      </c>
      <c r="J133" s="32">
        <v>12.436885245901639</v>
      </c>
      <c r="K133" s="15">
        <v>117</v>
      </c>
      <c r="L133" s="23">
        <v>20.2686817998935</v>
      </c>
      <c r="M133" s="38">
        <v>8.8811358411103783E-2</v>
      </c>
      <c r="N133" s="33">
        <v>20.005882352941178</v>
      </c>
      <c r="O133" s="33">
        <v>20.486934673366839</v>
      </c>
      <c r="P133" s="16">
        <v>117</v>
      </c>
      <c r="Q133" s="25">
        <v>54.322627527001849</v>
      </c>
      <c r="R133" s="39">
        <v>23.834953270475729</v>
      </c>
      <c r="S133" s="34">
        <v>28.563524590163929</v>
      </c>
      <c r="T133" s="34">
        <v>98.067336683417096</v>
      </c>
      <c r="U133" s="17">
        <v>117</v>
      </c>
      <c r="V133" s="28">
        <v>39.948223767074992</v>
      </c>
      <c r="W133" s="40">
        <v>0.38003747562535689</v>
      </c>
      <c r="X133" s="35">
        <v>38.877366255144025</v>
      </c>
      <c r="Y133" s="35">
        <v>40.619341563786008</v>
      </c>
      <c r="Z133" s="18">
        <v>117</v>
      </c>
      <c r="AC133" s="41" t="s">
        <v>99</v>
      </c>
      <c r="AD133" s="18">
        <v>1</v>
      </c>
    </row>
    <row r="134" spans="1:30" s="19" customFormat="1" x14ac:dyDescent="0.25">
      <c r="A134" s="29" t="s">
        <v>133</v>
      </c>
      <c r="B134" s="21">
        <v>6.5947956811161896</v>
      </c>
      <c r="C134" s="37">
        <v>6.121165317662466E-4</v>
      </c>
      <c r="D134" s="31">
        <v>6.5935217391304342</v>
      </c>
      <c r="E134" s="31">
        <v>6.5961904761904755</v>
      </c>
      <c r="F134" s="14">
        <v>36</v>
      </c>
      <c r="G134" s="24">
        <v>11.124640040205431</v>
      </c>
      <c r="H134" s="36">
        <v>0.64590835569289817</v>
      </c>
      <c r="I134" s="32">
        <v>10.10430622009569</v>
      </c>
      <c r="J134" s="32">
        <v>12.081171548117151</v>
      </c>
      <c r="K134" s="15">
        <v>36</v>
      </c>
      <c r="L134" s="23">
        <v>18.27739383117552</v>
      </c>
      <c r="M134" s="38">
        <v>7.5227962465566373E-2</v>
      </c>
      <c r="N134" s="33">
        <v>18.013392857142861</v>
      </c>
      <c r="O134" s="33">
        <v>18.37267759562841</v>
      </c>
      <c r="P134" s="16">
        <v>36</v>
      </c>
      <c r="Q134" s="25">
        <v>53.139158566059777</v>
      </c>
      <c r="R134" s="39">
        <v>23.93800995262222</v>
      </c>
      <c r="S134" s="34">
        <v>29.63857868020305</v>
      </c>
      <c r="T134" s="34">
        <v>95.472289156626502</v>
      </c>
      <c r="U134" s="17">
        <v>36</v>
      </c>
      <c r="V134" s="28">
        <v>51.606349585153644</v>
      </c>
      <c r="W134" s="40">
        <v>0.26410734312188022</v>
      </c>
      <c r="X134" s="35">
        <v>50.526339285714279</v>
      </c>
      <c r="Y134" s="35">
        <v>52.05285714285715</v>
      </c>
      <c r="Z134" s="18">
        <v>36</v>
      </c>
      <c r="AC134" s="41" t="s">
        <v>101</v>
      </c>
      <c r="AD134" s="18">
        <v>1</v>
      </c>
    </row>
    <row r="135" spans="1:30" s="19" customFormat="1" x14ac:dyDescent="0.25">
      <c r="A135" s="29" t="s">
        <v>134</v>
      </c>
      <c r="B135" s="21">
        <v>6.5943920937212486</v>
      </c>
      <c r="C135" s="37">
        <v>4.7396839548103308E-4</v>
      </c>
      <c r="D135" s="31">
        <v>6.5935802469135796</v>
      </c>
      <c r="E135" s="31">
        <v>6.5949999999999998</v>
      </c>
      <c r="F135" s="14">
        <v>11</v>
      </c>
      <c r="G135" s="24">
        <v>11.58331931699043</v>
      </c>
      <c r="H135" s="36">
        <v>0.25514893812107997</v>
      </c>
      <c r="I135" s="32">
        <v>11.034599156118141</v>
      </c>
      <c r="J135" s="32">
        <v>11.85482233502538</v>
      </c>
      <c r="K135" s="15">
        <v>11</v>
      </c>
      <c r="L135" s="23">
        <v>18.242649139013942</v>
      </c>
      <c r="M135" s="38">
        <v>0.1034432851068495</v>
      </c>
      <c r="N135" s="33">
        <v>17.98282208588957</v>
      </c>
      <c r="O135" s="33">
        <v>18.354601226993857</v>
      </c>
      <c r="P135" s="16">
        <v>11</v>
      </c>
      <c r="Q135" s="25">
        <v>58.029967513577574</v>
      </c>
      <c r="R135" s="39">
        <v>29.029369646092153</v>
      </c>
      <c r="S135" s="34">
        <v>33.24279475982533</v>
      </c>
      <c r="T135" s="34">
        <v>94.741104294478532</v>
      </c>
      <c r="U135" s="17">
        <v>11</v>
      </c>
      <c r="V135" s="28">
        <v>51.282555601674559</v>
      </c>
      <c r="W135" s="40">
        <v>0.39325842293664182</v>
      </c>
      <c r="X135" s="35">
        <v>50.367484662576693</v>
      </c>
      <c r="Y135" s="35">
        <v>51.806113537117902</v>
      </c>
      <c r="Z135" s="18">
        <v>11</v>
      </c>
      <c r="AC135" s="41" t="s">
        <v>102</v>
      </c>
      <c r="AD135" s="18">
        <v>1</v>
      </c>
    </row>
    <row r="136" spans="1:30" x14ac:dyDescent="0.25">
      <c r="A136" s="29" t="s">
        <v>135</v>
      </c>
      <c r="B136" s="21">
        <v>5.9947087763835283</v>
      </c>
      <c r="C136" s="37">
        <v>6.3320079232838129E-4</v>
      </c>
      <c r="D136" s="31">
        <v>5.9918579234972675</v>
      </c>
      <c r="E136" s="31">
        <v>5.9969369369369367</v>
      </c>
      <c r="F136" s="14">
        <v>1482</v>
      </c>
      <c r="G136" s="24">
        <v>12.44426812139735</v>
      </c>
      <c r="H136" s="36">
        <v>0.72875145284280862</v>
      </c>
      <c r="I136" s="32">
        <v>0</v>
      </c>
      <c r="J136" s="32">
        <v>13.663478260869558</v>
      </c>
      <c r="K136" s="15">
        <v>1482</v>
      </c>
      <c r="L136" s="23">
        <v>18.184638936444138</v>
      </c>
      <c r="M136" s="38">
        <v>0.55947141647918508</v>
      </c>
      <c r="N136" s="33">
        <v>12.106999999999999</v>
      </c>
      <c r="O136" s="33">
        <v>18.49078498293515</v>
      </c>
      <c r="P136" s="16">
        <v>1482</v>
      </c>
      <c r="Q136" s="25">
        <v>77.692914646147273</v>
      </c>
      <c r="R136" s="39">
        <v>434.80443744795394</v>
      </c>
      <c r="S136" s="34">
        <v>19.265999999999998</v>
      </c>
      <c r="T136" s="34">
        <v>6380.6</v>
      </c>
      <c r="U136" s="17">
        <v>1482</v>
      </c>
      <c r="V136" s="28">
        <v>97.542195089854175</v>
      </c>
      <c r="W136" s="40">
        <v>0.45545965202489685</v>
      </c>
      <c r="X136" s="35">
        <v>95.989270386266099</v>
      </c>
      <c r="Y136" s="35">
        <v>98.425210084033608</v>
      </c>
      <c r="Z136" s="18">
        <v>1482</v>
      </c>
      <c r="AC136" s="41" t="s">
        <v>103</v>
      </c>
      <c r="AD136" s="18">
        <v>1</v>
      </c>
    </row>
    <row r="137" spans="1:30" x14ac:dyDescent="0.25">
      <c r="A137" s="29" t="s">
        <v>136</v>
      </c>
      <c r="B137" s="21">
        <v>4.7948559670781901</v>
      </c>
      <c r="C137" s="37">
        <v>0</v>
      </c>
      <c r="D137" s="31">
        <v>4.7948559670781901</v>
      </c>
      <c r="E137" s="31">
        <v>4.7948559670781901</v>
      </c>
      <c r="F137" s="14">
        <v>1</v>
      </c>
      <c r="G137" s="24">
        <v>11.5037037037037</v>
      </c>
      <c r="H137" s="36">
        <v>0</v>
      </c>
      <c r="I137" s="32">
        <v>11.5037037037037</v>
      </c>
      <c r="J137" s="32">
        <v>11.5037037037037</v>
      </c>
      <c r="K137" s="15">
        <v>1</v>
      </c>
      <c r="L137" s="23">
        <v>20.192181069958849</v>
      </c>
      <c r="M137" s="38">
        <v>0</v>
      </c>
      <c r="N137" s="33">
        <v>20.192181069958849</v>
      </c>
      <c r="O137" s="33">
        <v>20.192181069958849</v>
      </c>
      <c r="P137" s="16">
        <v>1</v>
      </c>
      <c r="Q137" s="25">
        <v>30.072427983539097</v>
      </c>
      <c r="R137" s="39">
        <v>0</v>
      </c>
      <c r="S137" s="34">
        <v>30.072427983539097</v>
      </c>
      <c r="T137" s="34">
        <v>30.072427983539097</v>
      </c>
      <c r="U137" s="17">
        <v>1</v>
      </c>
      <c r="V137" s="28">
        <v>97.322633744855963</v>
      </c>
      <c r="W137" s="40">
        <v>0</v>
      </c>
      <c r="X137" s="35">
        <v>97.322633744855963</v>
      </c>
      <c r="Y137" s="35">
        <v>97.322633744855963</v>
      </c>
      <c r="Z137" s="18">
        <v>1</v>
      </c>
      <c r="AC137" s="41" t="s">
        <v>130</v>
      </c>
      <c r="AD137" s="18">
        <v>1</v>
      </c>
    </row>
    <row r="138" spans="1:30" x14ac:dyDescent="0.25">
      <c r="A138" s="29" t="s">
        <v>137</v>
      </c>
      <c r="B138" s="21">
        <v>5.994510126498275</v>
      </c>
      <c r="C138" s="37">
        <v>4.185382765010428E-4</v>
      </c>
      <c r="D138" s="31">
        <v>5.993661202185792</v>
      </c>
      <c r="E138" s="31">
        <v>5.9951485148514845</v>
      </c>
      <c r="F138" s="14">
        <v>12</v>
      </c>
      <c r="G138" s="24">
        <v>11.74354991753672</v>
      </c>
      <c r="H138" s="36">
        <v>7.7047032410967581E-2</v>
      </c>
      <c r="I138" s="32">
        <v>11.619801980198019</v>
      </c>
      <c r="J138" s="32">
        <v>11.848241206030149</v>
      </c>
      <c r="K138" s="15">
        <v>12</v>
      </c>
      <c r="L138" s="23">
        <v>18.29201152741248</v>
      </c>
      <c r="M138" s="38">
        <v>4.495204707656493E-2</v>
      </c>
      <c r="N138" s="33">
        <v>18.179238754325262</v>
      </c>
      <c r="O138" s="33">
        <v>18.326754385964911</v>
      </c>
      <c r="P138" s="16">
        <v>12</v>
      </c>
      <c r="Q138" s="25">
        <v>70.525827906175849</v>
      </c>
      <c r="R138" s="39">
        <v>23.034600761733731</v>
      </c>
      <c r="S138" s="34">
        <v>28.960207612456749</v>
      </c>
      <c r="T138" s="34">
        <v>92.19396984924623</v>
      </c>
      <c r="U138" s="17">
        <v>12</v>
      </c>
      <c r="V138" s="28">
        <v>97.581294955780805</v>
      </c>
      <c r="W138" s="40">
        <v>0.1630905597030359</v>
      </c>
      <c r="X138" s="35">
        <v>97.204844290657448</v>
      </c>
      <c r="Y138" s="35">
        <v>97.906532663316582</v>
      </c>
      <c r="Z138" s="18">
        <v>12</v>
      </c>
      <c r="AC138" s="41" t="s">
        <v>136</v>
      </c>
      <c r="AD138" s="18">
        <v>1</v>
      </c>
    </row>
    <row r="139" spans="1:30" x14ac:dyDescent="0.25">
      <c r="A139" s="29" t="s">
        <v>138</v>
      </c>
      <c r="B139" s="21">
        <v>8.3666201430301523</v>
      </c>
      <c r="C139" s="37">
        <v>2.683740946807355</v>
      </c>
      <c r="D139" s="31">
        <v>4.7952401746724886</v>
      </c>
      <c r="E139" s="31">
        <v>11.876607142857139</v>
      </c>
      <c r="F139" s="14">
        <v>289</v>
      </c>
      <c r="G139" s="24">
        <v>11.20928639637404</v>
      </c>
      <c r="H139" s="36">
        <v>1.1896761951169901</v>
      </c>
      <c r="I139" s="32">
        <v>7.1617224880382775</v>
      </c>
      <c r="J139" s="32">
        <v>14.476777251184831</v>
      </c>
      <c r="K139" s="15">
        <v>289</v>
      </c>
      <c r="L139" s="23">
        <v>15.79779497873279</v>
      </c>
      <c r="M139" s="38">
        <v>3.5580144113547165</v>
      </c>
      <c r="N139" s="33">
        <v>10.47433628318584</v>
      </c>
      <c r="O139" s="33">
        <v>31.801067615658372</v>
      </c>
      <c r="P139" s="16">
        <v>289</v>
      </c>
      <c r="Q139" s="25">
        <v>46.112222348281882</v>
      </c>
      <c r="R139" s="39">
        <v>15.834851477228341</v>
      </c>
      <c r="S139" s="34">
        <v>20.14</v>
      </c>
      <c r="T139" s="34">
        <v>95.662962962962965</v>
      </c>
      <c r="U139" s="17">
        <v>289</v>
      </c>
      <c r="V139" s="28">
        <v>30.680435869416119</v>
      </c>
      <c r="W139" s="40">
        <v>22.17088365332604</v>
      </c>
      <c r="X139" s="35">
        <v>0</v>
      </c>
      <c r="Y139" s="35">
        <v>97.75</v>
      </c>
      <c r="Z139" s="18">
        <v>289</v>
      </c>
    </row>
    <row r="140" spans="1:30" x14ac:dyDescent="0.25">
      <c r="AC140">
        <f>COUNTA(AC2:AC138)</f>
        <v>137</v>
      </c>
      <c r="AD140">
        <f>COUNTA(AC93:AC138)</f>
        <v>46</v>
      </c>
    </row>
  </sheetData>
  <sortState xmlns:xlrd2="http://schemas.microsoft.com/office/spreadsheetml/2017/richdata2" ref="AC2:AD138">
    <sortCondition descending="1" ref="AD2:AD138"/>
  </sortState>
  <printOptions horizontalCentered="1"/>
  <pageMargins left="0.23622047244094491" right="0" top="0.19685039370078741" bottom="0.35433070866141736" header="0.31496062992125984" footer="0.11811023622047245"/>
  <pageSetup paperSize="9" fitToWidth="0" orientation="portrait"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ea4d6a05-509a-47be-b294-2e1b750e57c1}" enabled="1" method="Standard" siteId="{72b256b0-66c6-4cd3-8b5c-a7bb0e1a9d45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Sheet1</vt:lpstr>
      <vt:lpstr>Sheet1!Area_de_impressao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LUIS IGNACIO JUNIOR</cp:lastModifiedBy>
  <cp:revision/>
  <cp:lastPrinted>2025-07-08T13:04:27Z</cp:lastPrinted>
  <dcterms:created xsi:type="dcterms:W3CDTF">2025-06-10T14:15:40Z</dcterms:created>
  <dcterms:modified xsi:type="dcterms:W3CDTF">2025-08-18T11:34:48Z</dcterms:modified>
  <cp:category/>
  <cp:contentStatus/>
</cp:coreProperties>
</file>